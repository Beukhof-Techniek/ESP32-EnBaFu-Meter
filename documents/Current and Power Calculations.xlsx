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win/Documents/PlatformIO/Projects/ESP32-EnBaFu-Meter/documents/"/>
    </mc:Choice>
  </mc:AlternateContent>
  <xr:revisionPtr revIDLastSave="0" documentId="8_{4C9B4876-18C5-2141-A213-77B7C3E7BC9F}" xr6:coauthVersionLast="47" xr6:coauthVersionMax="47" xr10:uidLastSave="{00000000-0000-0000-0000-000000000000}"/>
  <bookViews>
    <workbookView xWindow="5300" yWindow="1400" windowWidth="28040" windowHeight="19380" xr2:uid="{244478AC-B901-A148-835B-423C8769F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7" i="1"/>
  <c r="F9" i="1"/>
  <c r="F11" i="1"/>
  <c r="F12" i="1"/>
  <c r="F13" i="1"/>
  <c r="F14" i="1"/>
  <c r="F16" i="1"/>
  <c r="F17" i="1"/>
  <c r="F19" i="1"/>
  <c r="F21" i="1"/>
  <c r="F22" i="1"/>
  <c r="F23" i="1"/>
  <c r="F24" i="1"/>
  <c r="F26" i="1"/>
  <c r="F27" i="1"/>
  <c r="F29" i="1"/>
  <c r="F31" i="1"/>
  <c r="F32" i="1"/>
  <c r="F33" i="1"/>
  <c r="F34" i="1"/>
  <c r="F36" i="1"/>
  <c r="F37" i="1"/>
  <c r="F39" i="1"/>
  <c r="F41" i="1"/>
  <c r="F42" i="1"/>
  <c r="F43" i="1"/>
  <c r="F44" i="1"/>
  <c r="F7" i="1"/>
  <c r="E8" i="1"/>
  <c r="F8" i="1" s="1"/>
  <c r="E9" i="1"/>
  <c r="E10" i="1"/>
  <c r="F10" i="1" s="1"/>
  <c r="E11" i="1"/>
  <c r="E12" i="1"/>
  <c r="E13" i="1"/>
  <c r="E14" i="1"/>
  <c r="E15" i="1"/>
  <c r="F15" i="1" s="1"/>
  <c r="E16" i="1"/>
  <c r="E17" i="1"/>
  <c r="E18" i="1"/>
  <c r="F18" i="1" s="1"/>
  <c r="E19" i="1"/>
  <c r="E20" i="1"/>
  <c r="F20" i="1" s="1"/>
  <c r="E21" i="1"/>
  <c r="E22" i="1"/>
  <c r="E23" i="1"/>
  <c r="E24" i="1"/>
  <c r="E25" i="1"/>
  <c r="F25" i="1" s="1"/>
  <c r="E26" i="1"/>
  <c r="E27" i="1"/>
  <c r="E28" i="1"/>
  <c r="F28" i="1" s="1"/>
  <c r="E29" i="1"/>
  <c r="E30" i="1"/>
  <c r="F30" i="1" s="1"/>
  <c r="E31" i="1"/>
  <c r="E32" i="1"/>
  <c r="E33" i="1"/>
  <c r="E34" i="1"/>
  <c r="E35" i="1"/>
  <c r="F35" i="1" s="1"/>
  <c r="E36" i="1"/>
  <c r="E37" i="1"/>
  <c r="E38" i="1"/>
  <c r="F38" i="1" s="1"/>
  <c r="E39" i="1"/>
  <c r="E40" i="1"/>
  <c r="F40" i="1" s="1"/>
  <c r="E41" i="1"/>
  <c r="E42" i="1"/>
  <c r="E43" i="1"/>
  <c r="E44" i="1"/>
  <c r="E45" i="1"/>
  <c r="F45" i="1" s="1"/>
  <c r="E7" i="1"/>
  <c r="I10" i="1"/>
  <c r="H12" i="1"/>
  <c r="I12" i="1"/>
  <c r="I14" i="1"/>
  <c r="H15" i="1"/>
  <c r="I15" i="1"/>
  <c r="H16" i="1"/>
  <c r="I16" i="1"/>
  <c r="I17" i="1"/>
  <c r="H22" i="1"/>
  <c r="I26" i="1"/>
  <c r="H27" i="1"/>
  <c r="H32" i="1"/>
  <c r="I32" i="1"/>
  <c r="I37" i="1"/>
  <c r="H42" i="1"/>
  <c r="I42" i="1"/>
  <c r="I44" i="1"/>
  <c r="D14" i="1"/>
  <c r="D15" i="1"/>
  <c r="D16" i="1"/>
  <c r="D17" i="1"/>
  <c r="D18" i="1"/>
  <c r="D34" i="1"/>
  <c r="D35" i="1"/>
  <c r="D36" i="1"/>
  <c r="D44" i="1"/>
  <c r="D45" i="1"/>
  <c r="D7" i="1"/>
  <c r="B8" i="1"/>
  <c r="H8" i="1" s="1"/>
  <c r="B9" i="1"/>
  <c r="C9" i="1" s="1"/>
  <c r="B10" i="1"/>
  <c r="D10" i="1" s="1"/>
  <c r="B11" i="1"/>
  <c r="D11" i="1" s="1"/>
  <c r="B12" i="1"/>
  <c r="D12" i="1" s="1"/>
  <c r="B13" i="1"/>
  <c r="H13" i="1" s="1"/>
  <c r="B14" i="1"/>
  <c r="H14" i="1" s="1"/>
  <c r="B15" i="1"/>
  <c r="B16" i="1"/>
  <c r="B17" i="1"/>
  <c r="B18" i="1"/>
  <c r="H18" i="1" s="1"/>
  <c r="B19" i="1"/>
  <c r="I19" i="1" s="1"/>
  <c r="B20" i="1"/>
  <c r="H20" i="1" s="1"/>
  <c r="B21" i="1"/>
  <c r="D21" i="1" s="1"/>
  <c r="B22" i="1"/>
  <c r="D22" i="1" s="1"/>
  <c r="B23" i="1"/>
  <c r="C23" i="1" s="1"/>
  <c r="B24" i="1"/>
  <c r="H24" i="1" s="1"/>
  <c r="B25" i="1"/>
  <c r="H25" i="1" s="1"/>
  <c r="B26" i="1"/>
  <c r="H26" i="1" s="1"/>
  <c r="B27" i="1"/>
  <c r="D27" i="1" s="1"/>
  <c r="B28" i="1"/>
  <c r="H28" i="1" s="1"/>
  <c r="B29" i="1"/>
  <c r="C29" i="1" s="1"/>
  <c r="B30" i="1"/>
  <c r="H30" i="1" s="1"/>
  <c r="B31" i="1"/>
  <c r="B32" i="1"/>
  <c r="D32" i="1" s="1"/>
  <c r="B33" i="1"/>
  <c r="H33" i="1" s="1"/>
  <c r="B34" i="1"/>
  <c r="H34" i="1" s="1"/>
  <c r="B35" i="1"/>
  <c r="H35" i="1" s="1"/>
  <c r="B36" i="1"/>
  <c r="H36" i="1" s="1"/>
  <c r="B37" i="1"/>
  <c r="D37" i="1" s="1"/>
  <c r="B38" i="1"/>
  <c r="H38" i="1" s="1"/>
  <c r="B39" i="1"/>
  <c r="B40" i="1"/>
  <c r="I40" i="1" s="1"/>
  <c r="B41" i="1"/>
  <c r="D41" i="1" s="1"/>
  <c r="B42" i="1"/>
  <c r="D42" i="1" s="1"/>
  <c r="B43" i="1"/>
  <c r="H43" i="1" s="1"/>
  <c r="B44" i="1"/>
  <c r="H44" i="1" s="1"/>
  <c r="B45" i="1"/>
  <c r="H45" i="1" s="1"/>
  <c r="B7" i="1"/>
  <c r="H7" i="1" s="1"/>
  <c r="C28" i="1"/>
  <c r="C33" i="1"/>
  <c r="C38" i="1"/>
  <c r="C19" i="1"/>
  <c r="C44" i="1"/>
  <c r="H10" i="1" l="1"/>
  <c r="I27" i="1"/>
  <c r="D28" i="1"/>
  <c r="I36" i="1"/>
  <c r="D26" i="1"/>
  <c r="D40" i="1"/>
  <c r="I7" i="1"/>
  <c r="I35" i="1"/>
  <c r="D30" i="1"/>
  <c r="H37" i="1"/>
  <c r="I25" i="1"/>
  <c r="D25" i="1"/>
  <c r="I45" i="1"/>
  <c r="C18" i="1"/>
  <c r="D8" i="1"/>
  <c r="C34" i="1"/>
  <c r="D38" i="1"/>
  <c r="D24" i="1"/>
  <c r="I24" i="1"/>
  <c r="C24" i="1"/>
  <c r="D20" i="1"/>
  <c r="I34" i="1"/>
  <c r="I22" i="1"/>
  <c r="H11" i="1"/>
  <c r="D39" i="1"/>
  <c r="D29" i="1"/>
  <c r="D19" i="1"/>
  <c r="D9" i="1"/>
  <c r="H17" i="1"/>
  <c r="I41" i="1"/>
  <c r="I11" i="1"/>
  <c r="H41" i="1"/>
  <c r="I30" i="1"/>
  <c r="H40" i="1"/>
  <c r="I9" i="1"/>
  <c r="D43" i="1"/>
  <c r="D33" i="1"/>
  <c r="D23" i="1"/>
  <c r="D13" i="1"/>
  <c r="H39" i="1"/>
  <c r="H29" i="1"/>
  <c r="H19" i="1"/>
  <c r="H9" i="1"/>
  <c r="I21" i="1"/>
  <c r="H21" i="1"/>
  <c r="I20" i="1"/>
  <c r="I39" i="1"/>
  <c r="I29" i="1"/>
  <c r="I43" i="1"/>
  <c r="I38" i="1"/>
  <c r="I33" i="1"/>
  <c r="I28" i="1"/>
  <c r="I23" i="1"/>
  <c r="I18" i="1"/>
  <c r="I13" i="1"/>
  <c r="I8" i="1"/>
  <c r="I31" i="1"/>
  <c r="H31" i="1"/>
  <c r="C39" i="1"/>
  <c r="C8" i="1"/>
  <c r="C43" i="1"/>
  <c r="D31" i="1"/>
  <c r="H23" i="1"/>
  <c r="C14" i="1"/>
  <c r="C13" i="1"/>
  <c r="C37" i="1"/>
  <c r="C27" i="1"/>
  <c r="C17" i="1"/>
  <c r="C7" i="1"/>
  <c r="C36" i="1"/>
  <c r="C26" i="1"/>
  <c r="C16" i="1"/>
  <c r="C45" i="1"/>
  <c r="C35" i="1"/>
  <c r="C25" i="1"/>
  <c r="C15" i="1"/>
  <c r="C42" i="1"/>
  <c r="C31" i="1"/>
  <c r="C40" i="1"/>
  <c r="C30" i="1"/>
  <c r="C20" i="1"/>
  <c r="C10" i="1"/>
  <c r="C32" i="1"/>
  <c r="C22" i="1"/>
  <c r="C12" i="1"/>
  <c r="C41" i="1"/>
  <c r="C21" i="1"/>
  <c r="C11" i="1"/>
</calcChain>
</file>

<file path=xl/sharedStrings.xml><?xml version="1.0" encoding="utf-8"?>
<sst xmlns="http://schemas.openxmlformats.org/spreadsheetml/2006/main" count="17" uniqueCount="15">
  <si>
    <t>Vcc</t>
  </si>
  <si>
    <t>V</t>
  </si>
  <si>
    <t>R1</t>
  </si>
  <si>
    <t>ohm</t>
  </si>
  <si>
    <t>R2</t>
  </si>
  <si>
    <t>Rvlotter (ohm)</t>
  </si>
  <si>
    <t>Umeting (V)</t>
  </si>
  <si>
    <t>Uvlotter (V)</t>
  </si>
  <si>
    <t>PR1 (mW)</t>
  </si>
  <si>
    <t>I (mA)</t>
  </si>
  <si>
    <t>Pvlotter (mW)</t>
  </si>
  <si>
    <t>Vzener</t>
  </si>
  <si>
    <t>PR2 (mW)</t>
  </si>
  <si>
    <t>IR1 (mA)</t>
  </si>
  <si>
    <t>Pzener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</si>
</sst>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A3A7-4571-8547-ACD7-72FD2FF96E9F}">
  <dimension ref="A1:I45"/>
  <sheetViews>
    <sheetView tabSelected="1" topLeftCell="A3" workbookViewId="0">
      <selection activeCell="A7" sqref="A7"/>
    </sheetView>
  </sheetViews>
  <sheetFormatPr baseColWidth="10" defaultRowHeight="16" x14ac:dyDescent="0.2"/>
  <cols>
    <col min="1" max="1" width="12.83203125" bestFit="1" customWidth="1"/>
    <col min="2" max="2" width="12.1640625" bestFit="1" customWidth="1"/>
    <col min="7" max="7" width="11.83203125" bestFit="1" customWidth="1"/>
  </cols>
  <sheetData>
    <row r="1" spans="1:9" x14ac:dyDescent="0.2">
      <c r="A1" s="2" t="s">
        <v>0</v>
      </c>
      <c r="B1">
        <v>5</v>
      </c>
      <c r="C1" t="s">
        <v>1</v>
      </c>
    </row>
    <row r="2" spans="1:9" x14ac:dyDescent="0.2">
      <c r="A2" s="2" t="s">
        <v>11</v>
      </c>
      <c r="B2">
        <v>3.3</v>
      </c>
      <c r="C2" t="s">
        <v>1</v>
      </c>
    </row>
    <row r="3" spans="1:9" x14ac:dyDescent="0.2">
      <c r="A3" s="2" t="s">
        <v>2</v>
      </c>
      <c r="B3">
        <v>100</v>
      </c>
      <c r="C3" t="s">
        <v>3</v>
      </c>
    </row>
    <row r="4" spans="1:9" x14ac:dyDescent="0.2">
      <c r="A4" s="2" t="s">
        <v>4</v>
      </c>
      <c r="B4">
        <v>220</v>
      </c>
      <c r="C4" t="s">
        <v>3</v>
      </c>
    </row>
    <row r="6" spans="1:9" s="1" customFormat="1" x14ac:dyDescent="0.2">
      <c r="A6" s="1" t="s">
        <v>5</v>
      </c>
      <c r="B6" s="1" t="s">
        <v>9</v>
      </c>
      <c r="C6" s="1" t="s">
        <v>7</v>
      </c>
      <c r="D6" s="1" t="s">
        <v>6</v>
      </c>
      <c r="E6" s="1" t="s">
        <v>13</v>
      </c>
      <c r="F6" s="1" t="s">
        <v>8</v>
      </c>
      <c r="G6" s="1" t="s">
        <v>14</v>
      </c>
      <c r="H6" s="1" t="s">
        <v>12</v>
      </c>
      <c r="I6" s="1" t="s">
        <v>10</v>
      </c>
    </row>
    <row r="7" spans="1:9" x14ac:dyDescent="0.2">
      <c r="A7">
        <v>190</v>
      </c>
      <c r="B7">
        <f>B$2/(B$4+A7)*1000</f>
        <v>8.0487804878048781</v>
      </c>
      <c r="C7">
        <f>B7/1000*A7</f>
        <v>1.5292682926829269</v>
      </c>
      <c r="D7">
        <f>B7/1000*B$4</f>
        <v>1.7707317073170732</v>
      </c>
      <c r="E7">
        <f>(B$1-B$2)/B$3*1000</f>
        <v>17</v>
      </c>
      <c r="F7">
        <f>(E7/1000)^2*B$3*1000</f>
        <v>28.900000000000002</v>
      </c>
      <c r="G7">
        <f>B$2*(E7-B7)</f>
        <v>29.539024390243902</v>
      </c>
      <c r="H7">
        <f>(B7/1000)^2*B$4*1000</f>
        <v>14.252230814991078</v>
      </c>
      <c r="I7">
        <f>(B7/1000)^2*A7*1000</f>
        <v>12.308744794765023</v>
      </c>
    </row>
    <row r="8" spans="1:9" x14ac:dyDescent="0.2">
      <c r="A8">
        <v>185</v>
      </c>
      <c r="B8">
        <f t="shared" ref="B8:B45" si="0">B$2/(B$4+A8)*1000</f>
        <v>8.148148148148147</v>
      </c>
      <c r="C8">
        <f t="shared" ref="C8:C45" si="1">B8/1000*A8</f>
        <v>1.5074074074074073</v>
      </c>
      <c r="D8">
        <f t="shared" ref="D8:D45" si="2">B8/1000*B$4</f>
        <v>1.7925925925925925</v>
      </c>
      <c r="E8">
        <f t="shared" ref="E8:E45" si="3">(B$1-B$2)/B$3*1000</f>
        <v>17</v>
      </c>
      <c r="F8">
        <f t="shared" ref="F8:F45" si="4">(E8/1000)^2*B$3*1000</f>
        <v>28.900000000000002</v>
      </c>
      <c r="G8">
        <f t="shared" ref="G8:G45" si="5">B$2*(E8-B8)</f>
        <v>29.211111111111112</v>
      </c>
      <c r="H8">
        <f t="shared" ref="H8:H45" si="6">(B8/1000)^2*B$4*1000</f>
        <v>14.606310013717419</v>
      </c>
      <c r="I8">
        <f t="shared" ref="I8:I45" si="7">(B8/1000)^2*A8*1000</f>
        <v>12.282578875171465</v>
      </c>
    </row>
    <row r="9" spans="1:9" x14ac:dyDescent="0.2">
      <c r="A9">
        <v>180</v>
      </c>
      <c r="B9">
        <f t="shared" si="0"/>
        <v>8.25</v>
      </c>
      <c r="C9">
        <f t="shared" si="1"/>
        <v>1.4850000000000001</v>
      </c>
      <c r="D9">
        <f t="shared" si="2"/>
        <v>1.8150000000000002</v>
      </c>
      <c r="E9">
        <f t="shared" si="3"/>
        <v>17</v>
      </c>
      <c r="F9">
        <f t="shared" si="4"/>
        <v>28.900000000000002</v>
      </c>
      <c r="G9">
        <f t="shared" si="5"/>
        <v>28.875</v>
      </c>
      <c r="H9">
        <f t="shared" si="6"/>
        <v>14.973750000000001</v>
      </c>
      <c r="I9">
        <f t="shared" si="7"/>
        <v>12.251250000000002</v>
      </c>
    </row>
    <row r="10" spans="1:9" x14ac:dyDescent="0.2">
      <c r="A10">
        <v>175</v>
      </c>
      <c r="B10">
        <f t="shared" si="0"/>
        <v>8.3544303797468338</v>
      </c>
      <c r="C10">
        <f t="shared" si="1"/>
        <v>1.462025316455696</v>
      </c>
      <c r="D10">
        <f t="shared" si="2"/>
        <v>1.8379746835443036</v>
      </c>
      <c r="E10">
        <f t="shared" si="3"/>
        <v>17</v>
      </c>
      <c r="F10">
        <f t="shared" si="4"/>
        <v>28.900000000000002</v>
      </c>
      <c r="G10">
        <f t="shared" si="5"/>
        <v>28.530379746835447</v>
      </c>
      <c r="H10">
        <f t="shared" si="6"/>
        <v>15.355231533408102</v>
      </c>
      <c r="I10">
        <f t="shared" si="7"/>
        <v>12.214388719756444</v>
      </c>
    </row>
    <row r="11" spans="1:9" x14ac:dyDescent="0.2">
      <c r="A11">
        <v>170</v>
      </c>
      <c r="B11">
        <f t="shared" si="0"/>
        <v>8.4615384615384617</v>
      </c>
      <c r="C11">
        <f t="shared" si="1"/>
        <v>1.4384615384615385</v>
      </c>
      <c r="D11">
        <f t="shared" si="2"/>
        <v>1.8615384615384616</v>
      </c>
      <c r="E11">
        <f t="shared" si="3"/>
        <v>17</v>
      </c>
      <c r="F11">
        <f t="shared" si="4"/>
        <v>28.900000000000002</v>
      </c>
      <c r="G11">
        <f t="shared" si="5"/>
        <v>28.176923076923075</v>
      </c>
      <c r="H11">
        <f t="shared" si="6"/>
        <v>15.751479289940827</v>
      </c>
      <c r="I11">
        <f t="shared" si="7"/>
        <v>12.171597633136095</v>
      </c>
    </row>
    <row r="12" spans="1:9" x14ac:dyDescent="0.2">
      <c r="A12">
        <v>165</v>
      </c>
      <c r="B12">
        <f t="shared" si="0"/>
        <v>8.5714285714285694</v>
      </c>
      <c r="C12">
        <f t="shared" si="1"/>
        <v>1.4142857142857141</v>
      </c>
      <c r="D12">
        <f t="shared" si="2"/>
        <v>1.8857142857142855</v>
      </c>
      <c r="E12">
        <f t="shared" si="3"/>
        <v>17</v>
      </c>
      <c r="F12">
        <f t="shared" si="4"/>
        <v>28.900000000000002</v>
      </c>
      <c r="G12">
        <f t="shared" si="5"/>
        <v>27.81428571428572</v>
      </c>
      <c r="H12">
        <f t="shared" si="6"/>
        <v>16.163265306122444</v>
      </c>
      <c r="I12">
        <f t="shared" si="7"/>
        <v>12.122448979591832</v>
      </c>
    </row>
    <row r="13" spans="1:9" x14ac:dyDescent="0.2">
      <c r="A13">
        <v>160</v>
      </c>
      <c r="B13">
        <f t="shared" si="0"/>
        <v>8.6842105263157894</v>
      </c>
      <c r="C13">
        <f t="shared" si="1"/>
        <v>1.3894736842105262</v>
      </c>
      <c r="D13">
        <f t="shared" si="2"/>
        <v>1.9105263157894736</v>
      </c>
      <c r="E13">
        <f t="shared" si="3"/>
        <v>17</v>
      </c>
      <c r="F13">
        <f t="shared" si="4"/>
        <v>28.900000000000002</v>
      </c>
      <c r="G13">
        <f t="shared" si="5"/>
        <v>27.442105263157895</v>
      </c>
      <c r="H13">
        <f t="shared" si="6"/>
        <v>16.591412742382271</v>
      </c>
      <c r="I13">
        <f t="shared" si="7"/>
        <v>12.066481994459833</v>
      </c>
    </row>
    <row r="14" spans="1:9" x14ac:dyDescent="0.2">
      <c r="A14">
        <v>155</v>
      </c>
      <c r="B14">
        <f t="shared" si="0"/>
        <v>8.7999999999999989</v>
      </c>
      <c r="C14">
        <f t="shared" si="1"/>
        <v>1.3639999999999999</v>
      </c>
      <c r="D14">
        <f t="shared" si="2"/>
        <v>1.9359999999999997</v>
      </c>
      <c r="E14">
        <f t="shared" si="3"/>
        <v>17</v>
      </c>
      <c r="F14">
        <f t="shared" si="4"/>
        <v>28.900000000000002</v>
      </c>
      <c r="G14">
        <f t="shared" si="5"/>
        <v>27.060000000000002</v>
      </c>
      <c r="H14">
        <f t="shared" si="6"/>
        <v>17.036799999999996</v>
      </c>
      <c r="I14">
        <f t="shared" si="7"/>
        <v>12.003199999999996</v>
      </c>
    </row>
    <row r="15" spans="1:9" x14ac:dyDescent="0.2">
      <c r="A15">
        <v>150</v>
      </c>
      <c r="B15">
        <f t="shared" si="0"/>
        <v>8.9189189189189175</v>
      </c>
      <c r="C15">
        <f t="shared" si="1"/>
        <v>1.3378378378378377</v>
      </c>
      <c r="D15">
        <f t="shared" si="2"/>
        <v>1.9621621621621619</v>
      </c>
      <c r="E15">
        <f t="shared" si="3"/>
        <v>17</v>
      </c>
      <c r="F15">
        <f t="shared" si="4"/>
        <v>28.900000000000002</v>
      </c>
      <c r="G15">
        <f t="shared" si="5"/>
        <v>26.66756756756757</v>
      </c>
      <c r="H15">
        <f t="shared" si="6"/>
        <v>17.500365230094953</v>
      </c>
      <c r="I15">
        <f t="shared" si="7"/>
        <v>11.932067202337469</v>
      </c>
    </row>
    <row r="16" spans="1:9" x14ac:dyDescent="0.2">
      <c r="A16">
        <v>145</v>
      </c>
      <c r="B16">
        <f t="shared" si="0"/>
        <v>9.0410958904109595</v>
      </c>
      <c r="C16">
        <f t="shared" si="1"/>
        <v>1.310958904109589</v>
      </c>
      <c r="D16">
        <f t="shared" si="2"/>
        <v>1.989041095890411</v>
      </c>
      <c r="E16">
        <f t="shared" si="3"/>
        <v>17</v>
      </c>
      <c r="F16">
        <f t="shared" si="4"/>
        <v>28.900000000000002</v>
      </c>
      <c r="G16">
        <f t="shared" si="5"/>
        <v>26.264383561643832</v>
      </c>
      <c r="H16">
        <f t="shared" si="6"/>
        <v>17.983111277913306</v>
      </c>
      <c r="I16">
        <f t="shared" si="7"/>
        <v>11.852505160442862</v>
      </c>
    </row>
    <row r="17" spans="1:9" x14ac:dyDescent="0.2">
      <c r="A17">
        <v>140</v>
      </c>
      <c r="B17">
        <f t="shared" si="0"/>
        <v>9.1666666666666661</v>
      </c>
      <c r="C17">
        <f t="shared" si="1"/>
        <v>1.2833333333333334</v>
      </c>
      <c r="D17">
        <f t="shared" si="2"/>
        <v>2.0166666666666666</v>
      </c>
      <c r="E17">
        <f t="shared" si="3"/>
        <v>17</v>
      </c>
      <c r="F17">
        <f t="shared" si="4"/>
        <v>28.900000000000002</v>
      </c>
      <c r="G17">
        <f t="shared" si="5"/>
        <v>25.85</v>
      </c>
      <c r="H17">
        <f t="shared" si="6"/>
        <v>18.486111111111114</v>
      </c>
      <c r="I17">
        <f t="shared" si="7"/>
        <v>11.763888888888889</v>
      </c>
    </row>
    <row r="18" spans="1:9" x14ac:dyDescent="0.2">
      <c r="A18">
        <v>135</v>
      </c>
      <c r="B18">
        <f t="shared" si="0"/>
        <v>9.295774647887324</v>
      </c>
      <c r="C18">
        <f t="shared" si="1"/>
        <v>1.2549295774647886</v>
      </c>
      <c r="D18">
        <f t="shared" si="2"/>
        <v>2.0450704225352112</v>
      </c>
      <c r="E18">
        <f t="shared" si="3"/>
        <v>17</v>
      </c>
      <c r="F18">
        <f t="shared" si="4"/>
        <v>28.900000000000002</v>
      </c>
      <c r="G18">
        <f t="shared" si="5"/>
        <v>25.42394366197183</v>
      </c>
      <c r="H18">
        <f t="shared" si="6"/>
        <v>19.010513786947033</v>
      </c>
      <c r="I18">
        <f t="shared" si="7"/>
        <v>11.665542551081133</v>
      </c>
    </row>
    <row r="19" spans="1:9" x14ac:dyDescent="0.2">
      <c r="A19">
        <v>130</v>
      </c>
      <c r="B19">
        <f t="shared" si="0"/>
        <v>9.4285714285714288</v>
      </c>
      <c r="C19">
        <f t="shared" si="1"/>
        <v>1.2257142857142858</v>
      </c>
      <c r="D19">
        <f t="shared" si="2"/>
        <v>2.0742857142857143</v>
      </c>
      <c r="E19">
        <f t="shared" si="3"/>
        <v>17</v>
      </c>
      <c r="F19">
        <f t="shared" si="4"/>
        <v>28.900000000000002</v>
      </c>
      <c r="G19">
        <f t="shared" si="5"/>
        <v>24.985714285714284</v>
      </c>
      <c r="H19">
        <f t="shared" si="6"/>
        <v>19.557551020408162</v>
      </c>
      <c r="I19">
        <f t="shared" si="7"/>
        <v>11.556734693877551</v>
      </c>
    </row>
    <row r="20" spans="1:9" x14ac:dyDescent="0.2">
      <c r="A20">
        <v>125</v>
      </c>
      <c r="B20">
        <f t="shared" si="0"/>
        <v>9.5652173913043477</v>
      </c>
      <c r="C20">
        <f t="shared" si="1"/>
        <v>1.1956521739130435</v>
      </c>
      <c r="D20">
        <f t="shared" si="2"/>
        <v>2.1043478260869564</v>
      </c>
      <c r="E20">
        <f t="shared" si="3"/>
        <v>17</v>
      </c>
      <c r="F20">
        <f t="shared" si="4"/>
        <v>28.900000000000002</v>
      </c>
      <c r="G20">
        <f t="shared" si="5"/>
        <v>24.53478260869565</v>
      </c>
      <c r="H20">
        <f t="shared" si="6"/>
        <v>20.128544423440452</v>
      </c>
      <c r="I20">
        <f t="shared" si="7"/>
        <v>11.436672967863894</v>
      </c>
    </row>
    <row r="21" spans="1:9" x14ac:dyDescent="0.2">
      <c r="A21">
        <v>120</v>
      </c>
      <c r="B21">
        <f t="shared" si="0"/>
        <v>9.7058823529411757</v>
      </c>
      <c r="C21">
        <f t="shared" si="1"/>
        <v>1.164705882352941</v>
      </c>
      <c r="D21">
        <f t="shared" si="2"/>
        <v>2.1352941176470583</v>
      </c>
      <c r="E21">
        <f t="shared" si="3"/>
        <v>17</v>
      </c>
      <c r="F21">
        <f t="shared" si="4"/>
        <v>28.900000000000002</v>
      </c>
      <c r="G21">
        <f t="shared" si="5"/>
        <v>24.070588235294117</v>
      </c>
      <c r="H21">
        <f t="shared" si="6"/>
        <v>20.724913494809684</v>
      </c>
      <c r="I21">
        <f t="shared" si="7"/>
        <v>11.304498269896191</v>
      </c>
    </row>
    <row r="22" spans="1:9" x14ac:dyDescent="0.2">
      <c r="A22">
        <v>115</v>
      </c>
      <c r="B22">
        <f t="shared" si="0"/>
        <v>9.8507462686567155</v>
      </c>
      <c r="C22">
        <f t="shared" si="1"/>
        <v>1.1328358208955223</v>
      </c>
      <c r="D22">
        <f t="shared" si="2"/>
        <v>2.1671641791044776</v>
      </c>
      <c r="E22">
        <f t="shared" si="3"/>
        <v>17</v>
      </c>
      <c r="F22">
        <f t="shared" si="4"/>
        <v>28.900000000000002</v>
      </c>
      <c r="G22">
        <f t="shared" si="5"/>
        <v>23.592537313432839</v>
      </c>
      <c r="H22">
        <f t="shared" si="6"/>
        <v>21.348184450879927</v>
      </c>
      <c r="I22">
        <f t="shared" si="7"/>
        <v>11.159278235687234</v>
      </c>
    </row>
    <row r="23" spans="1:9" x14ac:dyDescent="0.2">
      <c r="A23">
        <v>110</v>
      </c>
      <c r="B23">
        <f t="shared" si="0"/>
        <v>10</v>
      </c>
      <c r="C23">
        <f t="shared" si="1"/>
        <v>1.1000000000000001</v>
      </c>
      <c r="D23">
        <f t="shared" si="2"/>
        <v>2.2000000000000002</v>
      </c>
      <c r="E23">
        <f t="shared" si="3"/>
        <v>17</v>
      </c>
      <c r="F23">
        <f t="shared" si="4"/>
        <v>28.900000000000002</v>
      </c>
      <c r="G23">
        <f t="shared" si="5"/>
        <v>23.099999999999998</v>
      </c>
      <c r="H23">
        <f t="shared" si="6"/>
        <v>22.000000000000004</v>
      </c>
      <c r="I23">
        <f t="shared" si="7"/>
        <v>11.000000000000002</v>
      </c>
    </row>
    <row r="24" spans="1:9" x14ac:dyDescent="0.2">
      <c r="A24">
        <v>105</v>
      </c>
      <c r="B24">
        <f t="shared" si="0"/>
        <v>10.153846153846153</v>
      </c>
      <c r="C24">
        <f t="shared" si="1"/>
        <v>1.0661538461538462</v>
      </c>
      <c r="D24">
        <f t="shared" si="2"/>
        <v>2.2338461538461538</v>
      </c>
      <c r="E24">
        <f t="shared" si="3"/>
        <v>17</v>
      </c>
      <c r="F24">
        <f t="shared" si="4"/>
        <v>28.900000000000002</v>
      </c>
      <c r="G24">
        <f t="shared" si="5"/>
        <v>22.592307692307692</v>
      </c>
      <c r="H24">
        <f t="shared" si="6"/>
        <v>22.682130177514793</v>
      </c>
      <c r="I24">
        <f t="shared" si="7"/>
        <v>10.825562130177515</v>
      </c>
    </row>
    <row r="25" spans="1:9" x14ac:dyDescent="0.2">
      <c r="A25">
        <v>100</v>
      </c>
      <c r="B25">
        <f t="shared" si="0"/>
        <v>10.312499999999998</v>
      </c>
      <c r="C25">
        <f t="shared" si="1"/>
        <v>1.0312499999999998</v>
      </c>
      <c r="D25">
        <f t="shared" si="2"/>
        <v>2.2687499999999998</v>
      </c>
      <c r="E25">
        <f t="shared" si="3"/>
        <v>17</v>
      </c>
      <c r="F25">
        <f t="shared" si="4"/>
        <v>28.900000000000002</v>
      </c>
      <c r="G25">
        <f t="shared" si="5"/>
        <v>22.068750000000005</v>
      </c>
      <c r="H25">
        <f t="shared" si="6"/>
        <v>23.396484374999996</v>
      </c>
      <c r="I25">
        <f t="shared" si="7"/>
        <v>10.634765624999996</v>
      </c>
    </row>
    <row r="26" spans="1:9" x14ac:dyDescent="0.2">
      <c r="A26">
        <v>95</v>
      </c>
      <c r="B26">
        <f t="shared" si="0"/>
        <v>10.476190476190476</v>
      </c>
      <c r="C26">
        <f t="shared" si="1"/>
        <v>0.99523809523809514</v>
      </c>
      <c r="D26">
        <f t="shared" si="2"/>
        <v>2.3047619047619046</v>
      </c>
      <c r="E26">
        <f t="shared" si="3"/>
        <v>17</v>
      </c>
      <c r="F26">
        <f t="shared" si="4"/>
        <v>28.900000000000002</v>
      </c>
      <c r="G26">
        <f t="shared" si="5"/>
        <v>21.528571428571428</v>
      </c>
      <c r="H26">
        <f t="shared" si="6"/>
        <v>24.145124716553287</v>
      </c>
      <c r="I26">
        <f t="shared" si="7"/>
        <v>10.426303854875282</v>
      </c>
    </row>
    <row r="27" spans="1:9" x14ac:dyDescent="0.2">
      <c r="A27">
        <v>90</v>
      </c>
      <c r="B27">
        <f t="shared" si="0"/>
        <v>10.64516129032258</v>
      </c>
      <c r="C27">
        <f t="shared" si="1"/>
        <v>0.95806451612903221</v>
      </c>
      <c r="D27">
        <f t="shared" si="2"/>
        <v>2.3419354838709676</v>
      </c>
      <c r="E27">
        <f t="shared" si="3"/>
        <v>17</v>
      </c>
      <c r="F27">
        <f t="shared" si="4"/>
        <v>28.900000000000002</v>
      </c>
      <c r="G27">
        <f t="shared" si="5"/>
        <v>20.970967741935485</v>
      </c>
      <c r="H27">
        <f t="shared" si="6"/>
        <v>24.930280957336109</v>
      </c>
      <c r="I27">
        <f t="shared" si="7"/>
        <v>10.198751300728409</v>
      </c>
    </row>
    <row r="28" spans="1:9" x14ac:dyDescent="0.2">
      <c r="A28">
        <v>85</v>
      </c>
      <c r="B28">
        <f t="shared" si="0"/>
        <v>10.81967213114754</v>
      </c>
      <c r="C28">
        <f t="shared" si="1"/>
        <v>0.91967213114754087</v>
      </c>
      <c r="D28">
        <f t="shared" si="2"/>
        <v>2.3803278688524587</v>
      </c>
      <c r="E28">
        <f t="shared" si="3"/>
        <v>17</v>
      </c>
      <c r="F28">
        <f t="shared" si="4"/>
        <v>28.900000000000002</v>
      </c>
      <c r="G28">
        <f t="shared" si="5"/>
        <v>20.39508196721312</v>
      </c>
      <c r="H28">
        <f t="shared" si="6"/>
        <v>25.754367105616762</v>
      </c>
      <c r="I28">
        <f t="shared" si="7"/>
        <v>9.9505509271701147</v>
      </c>
    </row>
    <row r="29" spans="1:9" x14ac:dyDescent="0.2">
      <c r="A29">
        <v>80</v>
      </c>
      <c r="B29">
        <f t="shared" si="0"/>
        <v>11</v>
      </c>
      <c r="C29">
        <f t="shared" si="1"/>
        <v>0.87999999999999989</v>
      </c>
      <c r="D29">
        <f t="shared" si="2"/>
        <v>2.42</v>
      </c>
      <c r="E29">
        <f t="shared" si="3"/>
        <v>17</v>
      </c>
      <c r="F29">
        <f t="shared" si="4"/>
        <v>28.900000000000002</v>
      </c>
      <c r="G29">
        <f t="shared" si="5"/>
        <v>19.799999999999997</v>
      </c>
      <c r="H29">
        <f t="shared" si="6"/>
        <v>26.619999999999997</v>
      </c>
      <c r="I29">
        <f t="shared" si="7"/>
        <v>9.68</v>
      </c>
    </row>
    <row r="30" spans="1:9" x14ac:dyDescent="0.2">
      <c r="A30">
        <v>75</v>
      </c>
      <c r="B30">
        <f t="shared" si="0"/>
        <v>11.1864406779661</v>
      </c>
      <c r="C30">
        <f t="shared" si="1"/>
        <v>0.8389830508474575</v>
      </c>
      <c r="D30">
        <f t="shared" si="2"/>
        <v>2.4610169491525422</v>
      </c>
      <c r="E30">
        <f t="shared" si="3"/>
        <v>17</v>
      </c>
      <c r="F30">
        <f t="shared" si="4"/>
        <v>28.900000000000002</v>
      </c>
      <c r="G30">
        <f t="shared" si="5"/>
        <v>19.184745762711866</v>
      </c>
      <c r="H30">
        <f t="shared" si="6"/>
        <v>27.530020109164028</v>
      </c>
      <c r="I30">
        <f t="shared" si="7"/>
        <v>9.3852341281241003</v>
      </c>
    </row>
    <row r="31" spans="1:9" x14ac:dyDescent="0.2">
      <c r="A31">
        <v>70</v>
      </c>
      <c r="B31">
        <f t="shared" si="0"/>
        <v>11.379310344827585</v>
      </c>
      <c r="C31">
        <f t="shared" si="1"/>
        <v>0.79655172413793096</v>
      </c>
      <c r="D31">
        <f t="shared" si="2"/>
        <v>2.5034482758620689</v>
      </c>
      <c r="E31">
        <f t="shared" si="3"/>
        <v>17</v>
      </c>
      <c r="F31">
        <f t="shared" si="4"/>
        <v>28.900000000000002</v>
      </c>
      <c r="G31">
        <f t="shared" si="5"/>
        <v>18.548275862068966</v>
      </c>
      <c r="H31">
        <f t="shared" si="6"/>
        <v>28.487514863258024</v>
      </c>
      <c r="I31">
        <f t="shared" si="7"/>
        <v>9.0642092746730061</v>
      </c>
    </row>
    <row r="32" spans="1:9" x14ac:dyDescent="0.2">
      <c r="A32">
        <v>65</v>
      </c>
      <c r="B32">
        <f t="shared" si="0"/>
        <v>11.578947368421051</v>
      </c>
      <c r="C32">
        <f t="shared" si="1"/>
        <v>0.75263157894736832</v>
      </c>
      <c r="D32">
        <f t="shared" si="2"/>
        <v>2.5473684210526315</v>
      </c>
      <c r="E32">
        <f t="shared" si="3"/>
        <v>17</v>
      </c>
      <c r="F32">
        <f t="shared" si="4"/>
        <v>28.900000000000002</v>
      </c>
      <c r="G32">
        <f t="shared" si="5"/>
        <v>17.889473684210529</v>
      </c>
      <c r="H32">
        <f t="shared" si="6"/>
        <v>29.495844875346254</v>
      </c>
      <c r="I32">
        <f t="shared" si="7"/>
        <v>8.7146814404432114</v>
      </c>
    </row>
    <row r="33" spans="1:9" x14ac:dyDescent="0.2">
      <c r="A33">
        <v>60</v>
      </c>
      <c r="B33">
        <f t="shared" si="0"/>
        <v>11.785714285714285</v>
      </c>
      <c r="C33">
        <f t="shared" si="1"/>
        <v>0.70714285714285707</v>
      </c>
      <c r="D33">
        <f t="shared" si="2"/>
        <v>2.5928571428571425</v>
      </c>
      <c r="E33">
        <f t="shared" si="3"/>
        <v>17</v>
      </c>
      <c r="F33">
        <f t="shared" si="4"/>
        <v>28.900000000000002</v>
      </c>
      <c r="G33">
        <f t="shared" si="5"/>
        <v>17.207142857142859</v>
      </c>
      <c r="H33">
        <f t="shared" si="6"/>
        <v>30.558673469387752</v>
      </c>
      <c r="I33">
        <f t="shared" si="7"/>
        <v>8.3341836734693864</v>
      </c>
    </row>
    <row r="34" spans="1:9" x14ac:dyDescent="0.2">
      <c r="A34">
        <v>55</v>
      </c>
      <c r="B34">
        <f t="shared" si="0"/>
        <v>11.999999999999998</v>
      </c>
      <c r="C34">
        <f t="shared" si="1"/>
        <v>0.65999999999999992</v>
      </c>
      <c r="D34">
        <f t="shared" si="2"/>
        <v>2.6399999999999997</v>
      </c>
      <c r="E34">
        <f t="shared" si="3"/>
        <v>17</v>
      </c>
      <c r="F34">
        <f t="shared" si="4"/>
        <v>28.900000000000002</v>
      </c>
      <c r="G34">
        <f t="shared" si="5"/>
        <v>16.500000000000004</v>
      </c>
      <c r="H34">
        <f t="shared" si="6"/>
        <v>31.679999999999993</v>
      </c>
      <c r="I34">
        <f t="shared" si="7"/>
        <v>7.9199999999999982</v>
      </c>
    </row>
    <row r="35" spans="1:9" x14ac:dyDescent="0.2">
      <c r="A35">
        <v>50</v>
      </c>
      <c r="B35">
        <f t="shared" si="0"/>
        <v>12.222222222222221</v>
      </c>
      <c r="C35">
        <f t="shared" si="1"/>
        <v>0.61111111111111105</v>
      </c>
      <c r="D35">
        <f t="shared" si="2"/>
        <v>2.6888888888888887</v>
      </c>
      <c r="E35">
        <f t="shared" si="3"/>
        <v>17</v>
      </c>
      <c r="F35">
        <f t="shared" si="4"/>
        <v>28.900000000000002</v>
      </c>
      <c r="G35">
        <f t="shared" si="5"/>
        <v>15.766666666666669</v>
      </c>
      <c r="H35">
        <f t="shared" si="6"/>
        <v>32.864197530864189</v>
      </c>
      <c r="I35">
        <f t="shared" si="7"/>
        <v>7.4691358024691343</v>
      </c>
    </row>
    <row r="36" spans="1:9" x14ac:dyDescent="0.2">
      <c r="A36">
        <v>45</v>
      </c>
      <c r="B36">
        <f t="shared" si="0"/>
        <v>12.452830188679243</v>
      </c>
      <c r="C36">
        <f t="shared" si="1"/>
        <v>0.56037735849056602</v>
      </c>
      <c r="D36">
        <f t="shared" si="2"/>
        <v>2.7396226415094338</v>
      </c>
      <c r="E36">
        <f t="shared" si="3"/>
        <v>17</v>
      </c>
      <c r="F36">
        <f t="shared" si="4"/>
        <v>28.900000000000002</v>
      </c>
      <c r="G36">
        <f t="shared" si="5"/>
        <v>15.005660377358495</v>
      </c>
      <c r="H36">
        <f t="shared" si="6"/>
        <v>34.116055535777846</v>
      </c>
      <c r="I36">
        <f t="shared" si="7"/>
        <v>6.97828408686365</v>
      </c>
    </row>
    <row r="37" spans="1:9" x14ac:dyDescent="0.2">
      <c r="A37">
        <v>40</v>
      </c>
      <c r="B37">
        <f t="shared" si="0"/>
        <v>12.692307692307692</v>
      </c>
      <c r="C37">
        <f t="shared" si="1"/>
        <v>0.50769230769230766</v>
      </c>
      <c r="D37">
        <f t="shared" si="2"/>
        <v>2.7923076923076922</v>
      </c>
      <c r="E37">
        <f t="shared" si="3"/>
        <v>17</v>
      </c>
      <c r="F37">
        <f t="shared" si="4"/>
        <v>28.900000000000002</v>
      </c>
      <c r="G37">
        <f t="shared" si="5"/>
        <v>14.215384615384616</v>
      </c>
      <c r="H37">
        <f t="shared" si="6"/>
        <v>35.440828402366861</v>
      </c>
      <c r="I37">
        <f t="shared" si="7"/>
        <v>6.4437869822485201</v>
      </c>
    </row>
    <row r="38" spans="1:9" x14ac:dyDescent="0.2">
      <c r="A38">
        <v>35</v>
      </c>
      <c r="B38">
        <f t="shared" si="0"/>
        <v>12.941176470588236</v>
      </c>
      <c r="C38">
        <f t="shared" si="1"/>
        <v>0.45294117647058824</v>
      </c>
      <c r="D38">
        <f t="shared" si="2"/>
        <v>2.8470588235294119</v>
      </c>
      <c r="E38">
        <f t="shared" si="3"/>
        <v>17</v>
      </c>
      <c r="F38">
        <f t="shared" si="4"/>
        <v>28.900000000000002</v>
      </c>
      <c r="G38">
        <f t="shared" si="5"/>
        <v>13.394117647058822</v>
      </c>
      <c r="H38">
        <f t="shared" si="6"/>
        <v>36.844290657439451</v>
      </c>
      <c r="I38">
        <f t="shared" si="7"/>
        <v>5.8615916955017306</v>
      </c>
    </row>
    <row r="39" spans="1:9" x14ac:dyDescent="0.2">
      <c r="A39">
        <v>30</v>
      </c>
      <c r="B39">
        <f t="shared" si="0"/>
        <v>13.2</v>
      </c>
      <c r="C39">
        <f t="shared" si="1"/>
        <v>0.39600000000000002</v>
      </c>
      <c r="D39">
        <f t="shared" si="2"/>
        <v>2.9039999999999999</v>
      </c>
      <c r="E39">
        <f t="shared" si="3"/>
        <v>17</v>
      </c>
      <c r="F39">
        <f t="shared" si="4"/>
        <v>28.900000000000002</v>
      </c>
      <c r="G39">
        <f t="shared" si="5"/>
        <v>12.540000000000001</v>
      </c>
      <c r="H39">
        <f t="shared" si="6"/>
        <v>38.332799999999999</v>
      </c>
      <c r="I39">
        <f t="shared" si="7"/>
        <v>5.2271999999999998</v>
      </c>
    </row>
    <row r="40" spans="1:9" x14ac:dyDescent="0.2">
      <c r="A40">
        <v>25</v>
      </c>
      <c r="B40">
        <f t="shared" si="0"/>
        <v>13.469387755102039</v>
      </c>
      <c r="C40">
        <f t="shared" si="1"/>
        <v>0.33673469387755101</v>
      </c>
      <c r="D40">
        <f t="shared" si="2"/>
        <v>2.9632653061224485</v>
      </c>
      <c r="E40">
        <f t="shared" si="3"/>
        <v>17</v>
      </c>
      <c r="F40">
        <f t="shared" si="4"/>
        <v>28.900000000000002</v>
      </c>
      <c r="G40">
        <f t="shared" si="5"/>
        <v>11.651020408163271</v>
      </c>
      <c r="H40">
        <f t="shared" si="6"/>
        <v>39.913369429404405</v>
      </c>
      <c r="I40">
        <f t="shared" si="7"/>
        <v>4.5356101624323193</v>
      </c>
    </row>
    <row r="41" spans="1:9" x14ac:dyDescent="0.2">
      <c r="A41">
        <v>20</v>
      </c>
      <c r="B41">
        <f t="shared" si="0"/>
        <v>13.75</v>
      </c>
      <c r="C41">
        <f t="shared" si="1"/>
        <v>0.27500000000000002</v>
      </c>
      <c r="D41">
        <f t="shared" si="2"/>
        <v>3.0249999999999999</v>
      </c>
      <c r="E41">
        <f t="shared" si="3"/>
        <v>17</v>
      </c>
      <c r="F41">
        <f t="shared" si="4"/>
        <v>28.900000000000002</v>
      </c>
      <c r="G41">
        <f t="shared" si="5"/>
        <v>10.725</v>
      </c>
      <c r="H41">
        <f t="shared" si="6"/>
        <v>41.59375</v>
      </c>
      <c r="I41">
        <f t="shared" si="7"/>
        <v>3.78125</v>
      </c>
    </row>
    <row r="42" spans="1:9" x14ac:dyDescent="0.2">
      <c r="A42">
        <v>15</v>
      </c>
      <c r="B42">
        <f t="shared" si="0"/>
        <v>14.042553191489359</v>
      </c>
      <c r="C42">
        <f t="shared" si="1"/>
        <v>0.2106382978723404</v>
      </c>
      <c r="D42">
        <f t="shared" si="2"/>
        <v>3.0893617021276594</v>
      </c>
      <c r="E42">
        <f t="shared" si="3"/>
        <v>17</v>
      </c>
      <c r="F42">
        <f t="shared" si="4"/>
        <v>28.900000000000002</v>
      </c>
      <c r="G42">
        <f t="shared" si="5"/>
        <v>9.7595744680851144</v>
      </c>
      <c r="H42">
        <f t="shared" si="6"/>
        <v>43.382526029877766</v>
      </c>
      <c r="I42">
        <f t="shared" si="7"/>
        <v>2.9578995020371202</v>
      </c>
    </row>
    <row r="43" spans="1:9" x14ac:dyDescent="0.2">
      <c r="A43">
        <v>10</v>
      </c>
      <c r="B43">
        <f t="shared" si="0"/>
        <v>14.347826086956522</v>
      </c>
      <c r="C43">
        <f t="shared" si="1"/>
        <v>0.14347826086956522</v>
      </c>
      <c r="D43">
        <f t="shared" si="2"/>
        <v>3.1565217391304348</v>
      </c>
      <c r="E43">
        <f t="shared" si="3"/>
        <v>17</v>
      </c>
      <c r="F43">
        <f t="shared" si="4"/>
        <v>28.900000000000002</v>
      </c>
      <c r="G43">
        <f t="shared" si="5"/>
        <v>8.7521739130434781</v>
      </c>
      <c r="H43">
        <f t="shared" si="6"/>
        <v>45.289224952741016</v>
      </c>
      <c r="I43">
        <f t="shared" si="7"/>
        <v>2.0586011342155008</v>
      </c>
    </row>
    <row r="44" spans="1:9" x14ac:dyDescent="0.2">
      <c r="A44">
        <v>5</v>
      </c>
      <c r="B44">
        <f t="shared" si="0"/>
        <v>14.666666666666666</v>
      </c>
      <c r="C44">
        <f t="shared" si="1"/>
        <v>7.3333333333333334E-2</v>
      </c>
      <c r="D44">
        <f t="shared" si="2"/>
        <v>3.2266666666666666</v>
      </c>
      <c r="E44">
        <f t="shared" si="3"/>
        <v>17</v>
      </c>
      <c r="F44">
        <f t="shared" si="4"/>
        <v>28.900000000000002</v>
      </c>
      <c r="G44">
        <f t="shared" si="5"/>
        <v>7.700000000000002</v>
      </c>
      <c r="H44">
        <f t="shared" si="6"/>
        <v>47.324444444444438</v>
      </c>
      <c r="I44">
        <f t="shared" si="7"/>
        <v>1.0755555555555556</v>
      </c>
    </row>
    <row r="45" spans="1:9" x14ac:dyDescent="0.2">
      <c r="A45">
        <v>0</v>
      </c>
      <c r="B45">
        <f t="shared" si="0"/>
        <v>15</v>
      </c>
      <c r="C45">
        <f t="shared" si="1"/>
        <v>0</v>
      </c>
      <c r="D45">
        <f t="shared" si="2"/>
        <v>3.3</v>
      </c>
      <c r="E45">
        <f t="shared" si="3"/>
        <v>17</v>
      </c>
      <c r="F45">
        <f t="shared" si="4"/>
        <v>28.900000000000002</v>
      </c>
      <c r="G45">
        <f t="shared" si="5"/>
        <v>6.6</v>
      </c>
      <c r="H45">
        <f t="shared" si="6"/>
        <v>49.499999999999993</v>
      </c>
      <c r="I45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Beukhof [Maerita]</dc:creator>
  <cp:lastModifiedBy>Erwin Beukhof [Maerita]</cp:lastModifiedBy>
  <dcterms:created xsi:type="dcterms:W3CDTF">2026-01-04T17:35:36Z</dcterms:created>
  <dcterms:modified xsi:type="dcterms:W3CDTF">2026-01-04T18:10:15Z</dcterms:modified>
</cp:coreProperties>
</file>