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win/Documents/PlatformIO/Projects/ESP32-EnBaFu-Meter/documents/"/>
    </mc:Choice>
  </mc:AlternateContent>
  <xr:revisionPtr revIDLastSave="0" documentId="8_{55EA6B47-29A8-5442-B286-7184F78240FA}" xr6:coauthVersionLast="47" xr6:coauthVersionMax="47" xr10:uidLastSave="{00000000-0000-0000-0000-000000000000}"/>
  <bookViews>
    <workbookView xWindow="19680" yWindow="4240" windowWidth="28040" windowHeight="21600" xr2:uid="{6AD61461-FFFA-434A-A1E2-5B6F95BF40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11" i="1"/>
  <c r="C11" i="1" s="1"/>
  <c r="F11" i="1" s="1"/>
  <c r="B12" i="1"/>
  <c r="C12" i="1" s="1"/>
  <c r="E12" i="1" s="1"/>
  <c r="B13" i="1"/>
  <c r="C13" i="1" s="1"/>
  <c r="D13" i="1" s="1"/>
  <c r="B14" i="1"/>
  <c r="C14" i="1" s="1"/>
  <c r="D14" i="1" s="1"/>
  <c r="B15" i="1"/>
  <c r="C15" i="1" s="1"/>
  <c r="D15" i="1" s="1"/>
  <c r="B16" i="1"/>
  <c r="C16" i="1" s="1"/>
  <c r="E16" i="1" s="1"/>
  <c r="B17" i="1"/>
  <c r="C17" i="1" s="1"/>
  <c r="D17" i="1" s="1"/>
  <c r="B18" i="1"/>
  <c r="C18" i="1" s="1"/>
  <c r="D18" i="1" s="1"/>
  <c r="B19" i="1"/>
  <c r="C19" i="1" s="1"/>
  <c r="D19" i="1" s="1"/>
  <c r="B20" i="1"/>
  <c r="C20" i="1" s="1"/>
  <c r="F20" i="1" s="1"/>
  <c r="B21" i="1"/>
  <c r="C21" i="1" s="1"/>
  <c r="F21" i="1" s="1"/>
  <c r="B22" i="1"/>
  <c r="C22" i="1" s="1"/>
  <c r="E22" i="1" s="1"/>
  <c r="B23" i="1"/>
  <c r="C23" i="1" s="1"/>
  <c r="D23" i="1" s="1"/>
  <c r="B24" i="1"/>
  <c r="C24" i="1" s="1"/>
  <c r="D24" i="1" s="1"/>
  <c r="B25" i="1"/>
  <c r="C25" i="1" s="1"/>
  <c r="D25" i="1" s="1"/>
  <c r="B26" i="1"/>
  <c r="C26" i="1" s="1"/>
  <c r="D26" i="1" s="1"/>
  <c r="B27" i="1"/>
  <c r="C27" i="1" s="1"/>
  <c r="D27" i="1" s="1"/>
  <c r="B28" i="1"/>
  <c r="C28" i="1" s="1"/>
  <c r="D28" i="1" s="1"/>
  <c r="B29" i="1"/>
  <c r="C29" i="1" s="1"/>
  <c r="D29" i="1" s="1"/>
  <c r="B30" i="1"/>
  <c r="C30" i="1" s="1"/>
  <c r="F30" i="1" s="1"/>
  <c r="B31" i="1"/>
  <c r="C31" i="1" s="1"/>
  <c r="F31" i="1" s="1"/>
  <c r="B32" i="1"/>
  <c r="C32" i="1" s="1"/>
  <c r="E32" i="1" s="1"/>
  <c r="B33" i="1"/>
  <c r="C33" i="1" s="1"/>
  <c r="D33" i="1" s="1"/>
  <c r="B34" i="1"/>
  <c r="C34" i="1" s="1"/>
  <c r="D34" i="1" s="1"/>
  <c r="B35" i="1"/>
  <c r="C35" i="1" s="1"/>
  <c r="F35" i="1" s="1"/>
  <c r="B36" i="1"/>
  <c r="C36" i="1" s="1"/>
  <c r="F36" i="1" s="1"/>
  <c r="B37" i="1"/>
  <c r="C37" i="1" s="1"/>
  <c r="D37" i="1" s="1"/>
  <c r="B38" i="1"/>
  <c r="C38" i="1" s="1"/>
  <c r="F38" i="1" s="1"/>
  <c r="B39" i="1"/>
  <c r="C39" i="1" s="1"/>
  <c r="D39" i="1" s="1"/>
  <c r="B40" i="1"/>
  <c r="C40" i="1" s="1"/>
  <c r="D40" i="1" s="1"/>
  <c r="B41" i="1"/>
  <c r="C41" i="1" s="1"/>
  <c r="F41" i="1" s="1"/>
  <c r="B42" i="1"/>
  <c r="C42" i="1" s="1"/>
  <c r="E42" i="1" s="1"/>
  <c r="B43" i="1"/>
  <c r="C43" i="1" s="1"/>
  <c r="D43" i="1" s="1"/>
  <c r="B44" i="1"/>
  <c r="C44" i="1" s="1"/>
  <c r="D44" i="1" s="1"/>
  <c r="B45" i="1"/>
  <c r="C45" i="1" s="1"/>
  <c r="E45" i="1" s="1"/>
  <c r="B46" i="1"/>
  <c r="C46" i="1" s="1"/>
  <c r="E46" i="1" s="1"/>
  <c r="B47" i="1"/>
  <c r="C47" i="1" s="1"/>
  <c r="E47" i="1" s="1"/>
  <c r="B48" i="1"/>
  <c r="C48" i="1" s="1"/>
  <c r="E48" i="1" s="1"/>
  <c r="B10" i="1"/>
  <c r="C10" i="1" s="1"/>
  <c r="F10" i="1" s="1"/>
  <c r="D20" i="1" l="1"/>
  <c r="D47" i="1"/>
  <c r="D45" i="1"/>
  <c r="D30" i="1"/>
  <c r="D10" i="1"/>
  <c r="D48" i="1"/>
  <c r="D46" i="1"/>
  <c r="D16" i="1"/>
  <c r="D35" i="1"/>
  <c r="D42" i="1"/>
  <c r="D32" i="1"/>
  <c r="D22" i="1"/>
  <c r="D12" i="1"/>
  <c r="D38" i="1"/>
  <c r="D36" i="1"/>
  <c r="D41" i="1"/>
  <c r="D31" i="1"/>
  <c r="D21" i="1"/>
  <c r="D11" i="1"/>
  <c r="E40" i="1"/>
  <c r="F40" i="1"/>
  <c r="E39" i="1"/>
  <c r="F39" i="1"/>
  <c r="F29" i="1"/>
  <c r="E29" i="1"/>
  <c r="F19" i="1"/>
  <c r="E19" i="1"/>
  <c r="E28" i="1"/>
  <c r="F28" i="1"/>
  <c r="F18" i="1"/>
  <c r="E18" i="1"/>
  <c r="F37" i="1"/>
  <c r="E37" i="1"/>
  <c r="E27" i="1"/>
  <c r="F27" i="1"/>
  <c r="F17" i="1"/>
  <c r="E17" i="1"/>
  <c r="F46" i="1"/>
  <c r="E21" i="1"/>
  <c r="E36" i="1"/>
  <c r="F45" i="1"/>
  <c r="E30" i="1"/>
  <c r="E20" i="1"/>
  <c r="E35" i="1"/>
  <c r="E31" i="1"/>
  <c r="E41" i="1"/>
  <c r="G12" i="1"/>
  <c r="H12" i="1" s="1"/>
  <c r="G44" i="1"/>
  <c r="H44" i="1" s="1"/>
  <c r="G17" i="1"/>
  <c r="H17" i="1" s="1"/>
  <c r="G28" i="1"/>
  <c r="H28" i="1" s="1"/>
  <c r="G10" i="1"/>
  <c r="H10" i="1" s="1"/>
  <c r="G27" i="1"/>
  <c r="H27" i="1" s="1"/>
  <c r="G48" i="1"/>
  <c r="H48" i="1" s="1"/>
  <c r="G24" i="1"/>
  <c r="H24" i="1" s="1"/>
  <c r="G47" i="1"/>
  <c r="H47" i="1" s="1"/>
  <c r="G19" i="1"/>
  <c r="H19" i="1" s="1"/>
  <c r="G41" i="1"/>
  <c r="H41" i="1" s="1"/>
  <c r="G16" i="1"/>
  <c r="H16" i="1" s="1"/>
  <c r="G34" i="1"/>
  <c r="H34" i="1" s="1"/>
  <c r="G14" i="1"/>
  <c r="H14" i="1" s="1"/>
  <c r="G26" i="1"/>
  <c r="H26" i="1" s="1"/>
  <c r="G29" i="1"/>
  <c r="H29" i="1" s="1"/>
  <c r="G25" i="1"/>
  <c r="H25" i="1" s="1"/>
  <c r="G45" i="1"/>
  <c r="H45" i="1" s="1"/>
  <c r="G18" i="1"/>
  <c r="H18" i="1" s="1"/>
  <c r="G43" i="1"/>
  <c r="H43" i="1" s="1"/>
  <c r="G33" i="1"/>
  <c r="H33" i="1" s="1"/>
  <c r="G39" i="1"/>
  <c r="H39" i="1" s="1"/>
  <c r="G15" i="1"/>
  <c r="H15" i="1" s="1"/>
  <c r="E26" i="1"/>
  <c r="F48" i="1"/>
  <c r="F16" i="1"/>
  <c r="G31" i="1"/>
  <c r="H31" i="1" s="1"/>
  <c r="G21" i="1"/>
  <c r="H21" i="1" s="1"/>
  <c r="G11" i="1"/>
  <c r="H11" i="1" s="1"/>
  <c r="E38" i="1"/>
  <c r="E25" i="1"/>
  <c r="F47" i="1"/>
  <c r="G40" i="1"/>
  <c r="H40" i="1" s="1"/>
  <c r="G30" i="1"/>
  <c r="H30" i="1" s="1"/>
  <c r="G20" i="1"/>
  <c r="H20" i="1" s="1"/>
  <c r="F26" i="1"/>
  <c r="F25" i="1"/>
  <c r="G46" i="1"/>
  <c r="H46" i="1" s="1"/>
  <c r="G36" i="1"/>
  <c r="H36" i="1" s="1"/>
  <c r="E10" i="1"/>
  <c r="G38" i="1"/>
  <c r="H38" i="1" s="1"/>
  <c r="G37" i="1"/>
  <c r="H37" i="1" s="1"/>
  <c r="G35" i="1"/>
  <c r="H35" i="1" s="1"/>
  <c r="E11" i="1"/>
  <c r="G23" i="1"/>
  <c r="H23" i="1" s="1"/>
  <c r="G13" i="1"/>
  <c r="H13" i="1" s="1"/>
  <c r="G42" i="1"/>
  <c r="H42" i="1" s="1"/>
  <c r="G32" i="1"/>
  <c r="H32" i="1" s="1"/>
  <c r="G22" i="1"/>
  <c r="H22" i="1" s="1"/>
  <c r="E15" i="1"/>
  <c r="F15" i="1"/>
  <c r="F44" i="1"/>
  <c r="E44" i="1"/>
  <c r="E34" i="1"/>
  <c r="F34" i="1"/>
  <c r="F24" i="1"/>
  <c r="E24" i="1"/>
  <c r="F14" i="1"/>
  <c r="E14" i="1"/>
  <c r="E43" i="1"/>
  <c r="F43" i="1"/>
  <c r="E33" i="1"/>
  <c r="F33" i="1"/>
  <c r="E23" i="1"/>
  <c r="F23" i="1"/>
  <c r="E13" i="1"/>
  <c r="F13" i="1"/>
  <c r="F42" i="1"/>
  <c r="F32" i="1"/>
  <c r="F22" i="1"/>
  <c r="F12" i="1"/>
</calcChain>
</file>

<file path=xl/sharedStrings.xml><?xml version="1.0" encoding="utf-8"?>
<sst xmlns="http://schemas.openxmlformats.org/spreadsheetml/2006/main" count="22" uniqueCount="19">
  <si>
    <t>R1</t>
  </si>
  <si>
    <t>R2</t>
  </si>
  <si>
    <t>Zener</t>
  </si>
  <si>
    <t>ohm</t>
  </si>
  <si>
    <t>V</t>
  </si>
  <si>
    <t>Rvlotter max</t>
  </si>
  <si>
    <t>Rvlotter min</t>
  </si>
  <si>
    <t>Rvlotter</t>
  </si>
  <si>
    <t>R2+Rvlotter</t>
  </si>
  <si>
    <t>IR2</t>
  </si>
  <si>
    <t>PR2</t>
  </si>
  <si>
    <t>PRvlotter</t>
  </si>
  <si>
    <t>IR1</t>
  </si>
  <si>
    <t>A</t>
  </si>
  <si>
    <t>Izener</t>
  </si>
  <si>
    <t>Pzener</t>
  </si>
  <si>
    <t>Uvlotter</t>
  </si>
  <si>
    <t>PR1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</si>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</sst>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0EAF-C93D-4743-A231-E5FD0DB2132D}">
  <dimension ref="A1:H48"/>
  <sheetViews>
    <sheetView tabSelected="1" workbookViewId="0"/>
  </sheetViews>
  <sheetFormatPr baseColWidth="10" defaultRowHeight="16" x14ac:dyDescent="0.2"/>
  <cols>
    <col min="1" max="1" width="11.33203125" bestFit="1" customWidth="1"/>
    <col min="3" max="3" width="12.1640625" bestFit="1" customWidth="1"/>
    <col min="4" max="4" width="12.1640625" customWidth="1"/>
    <col min="5" max="8" width="12.1640625" bestFit="1" customWidth="1"/>
  </cols>
  <sheetData>
    <row r="1" spans="1:8" x14ac:dyDescent="0.2">
      <c r="A1" t="s">
        <v>0</v>
      </c>
      <c r="B1">
        <v>100</v>
      </c>
      <c r="C1" t="s">
        <v>3</v>
      </c>
    </row>
    <row r="2" spans="1:8" x14ac:dyDescent="0.2">
      <c r="A2" t="s">
        <v>1</v>
      </c>
      <c r="B2">
        <v>220</v>
      </c>
      <c r="C2" t="s">
        <v>3</v>
      </c>
    </row>
    <row r="3" spans="1:8" x14ac:dyDescent="0.2">
      <c r="A3" t="s">
        <v>2</v>
      </c>
      <c r="B3">
        <v>3.3</v>
      </c>
      <c r="C3" t="s">
        <v>4</v>
      </c>
    </row>
    <row r="4" spans="1:8" x14ac:dyDescent="0.2">
      <c r="A4" t="s">
        <v>5</v>
      </c>
      <c r="B4">
        <v>190</v>
      </c>
      <c r="C4" t="s">
        <v>3</v>
      </c>
    </row>
    <row r="5" spans="1:8" x14ac:dyDescent="0.2">
      <c r="A5" t="s">
        <v>6</v>
      </c>
      <c r="B5">
        <v>0</v>
      </c>
      <c r="C5" t="s">
        <v>3</v>
      </c>
    </row>
    <row r="6" spans="1:8" x14ac:dyDescent="0.2">
      <c r="A6" t="s">
        <v>12</v>
      </c>
      <c r="B6">
        <f>(5-B3)/B1</f>
        <v>1.7000000000000001E-2</v>
      </c>
      <c r="C6" t="s">
        <v>13</v>
      </c>
    </row>
    <row r="7" spans="1:8" x14ac:dyDescent="0.2">
      <c r="A7" t="s">
        <v>17</v>
      </c>
      <c r="B7">
        <f>(B6^2)*B1</f>
        <v>2.8900000000000002E-2</v>
      </c>
      <c r="C7" t="s">
        <v>18</v>
      </c>
    </row>
    <row r="9" spans="1:8" s="1" customFormat="1" x14ac:dyDescent="0.2">
      <c r="A9" s="1" t="s">
        <v>7</v>
      </c>
      <c r="B9" s="1" t="s">
        <v>8</v>
      </c>
      <c r="C9" s="1" t="s">
        <v>9</v>
      </c>
      <c r="D9" s="1" t="s">
        <v>16</v>
      </c>
      <c r="E9" s="1" t="s">
        <v>10</v>
      </c>
      <c r="F9" s="1" t="s">
        <v>11</v>
      </c>
      <c r="G9" s="1" t="s">
        <v>14</v>
      </c>
      <c r="H9" s="1" t="s">
        <v>15</v>
      </c>
    </row>
    <row r="10" spans="1:8" x14ac:dyDescent="0.2">
      <c r="A10">
        <v>190</v>
      </c>
      <c r="B10">
        <f>B$2+A10</f>
        <v>410</v>
      </c>
      <c r="C10">
        <f>B$3/B10</f>
        <v>8.0487804878048783E-3</v>
      </c>
      <c r="D10">
        <f>B$3-(C10*B$2)</f>
        <v>1.5292682926829266</v>
      </c>
      <c r="E10">
        <f>(C10^2)*B$2</f>
        <v>1.4252230814991078E-2</v>
      </c>
      <c r="F10">
        <f>(C10^2)*A10</f>
        <v>1.2308744794765023E-2</v>
      </c>
      <c r="G10">
        <f>B$6-C10</f>
        <v>8.951219512195123E-3</v>
      </c>
      <c r="H10">
        <f>B$3*G10</f>
        <v>2.9539024390243904E-2</v>
      </c>
    </row>
    <row r="11" spans="1:8" x14ac:dyDescent="0.2">
      <c r="A11">
        <v>185</v>
      </c>
      <c r="B11">
        <f t="shared" ref="B11:B48" si="0">B$2+A11</f>
        <v>405</v>
      </c>
      <c r="C11">
        <f t="shared" ref="C11:C48" si="1">B$3/B11</f>
        <v>8.1481481481481474E-3</v>
      </c>
      <c r="D11">
        <f t="shared" ref="D11:D48" si="2">B$3-(C11*B$2)</f>
        <v>1.5074074074074073</v>
      </c>
      <c r="E11">
        <f t="shared" ref="E11:E48" si="3">(C11^2)*B$2</f>
        <v>1.4606310013717419E-2</v>
      </c>
      <c r="F11">
        <f t="shared" ref="F11:F48" si="4">(C11^2)*A11</f>
        <v>1.2282578875171465E-2</v>
      </c>
      <c r="G11">
        <f t="shared" ref="G11:G48" si="5">B$6-C11</f>
        <v>8.8518518518518538E-3</v>
      </c>
      <c r="H11">
        <f t="shared" ref="H11:H48" si="6">B$3*G11</f>
        <v>2.9211111111111115E-2</v>
      </c>
    </row>
    <row r="12" spans="1:8" x14ac:dyDescent="0.2">
      <c r="A12">
        <v>180</v>
      </c>
      <c r="B12">
        <f t="shared" si="0"/>
        <v>400</v>
      </c>
      <c r="C12">
        <f t="shared" si="1"/>
        <v>8.2500000000000004E-3</v>
      </c>
      <c r="D12">
        <f t="shared" si="2"/>
        <v>1.4849999999999997</v>
      </c>
      <c r="E12">
        <f t="shared" si="3"/>
        <v>1.4973750000000001E-2</v>
      </c>
      <c r="F12">
        <f t="shared" si="4"/>
        <v>1.2251250000000002E-2</v>
      </c>
      <c r="G12">
        <f t="shared" si="5"/>
        <v>8.7500000000000008E-3</v>
      </c>
      <c r="H12">
        <f t="shared" si="6"/>
        <v>2.8875000000000001E-2</v>
      </c>
    </row>
    <row r="13" spans="1:8" x14ac:dyDescent="0.2">
      <c r="A13">
        <v>175</v>
      </c>
      <c r="B13">
        <f t="shared" si="0"/>
        <v>395</v>
      </c>
      <c r="C13">
        <f t="shared" si="1"/>
        <v>8.3544303797468342E-3</v>
      </c>
      <c r="D13">
        <f t="shared" si="2"/>
        <v>1.4620253164556962</v>
      </c>
      <c r="E13">
        <f t="shared" si="3"/>
        <v>1.5355231533408101E-2</v>
      </c>
      <c r="F13">
        <f t="shared" si="4"/>
        <v>1.2214388719756445E-2</v>
      </c>
      <c r="G13">
        <f t="shared" si="5"/>
        <v>8.6455696202531671E-3</v>
      </c>
      <c r="H13">
        <f t="shared" si="6"/>
        <v>2.8530379746835449E-2</v>
      </c>
    </row>
    <row r="14" spans="1:8" x14ac:dyDescent="0.2">
      <c r="A14">
        <v>170</v>
      </c>
      <c r="B14">
        <f t="shared" si="0"/>
        <v>390</v>
      </c>
      <c r="C14">
        <f t="shared" si="1"/>
        <v>8.4615384615384613E-3</v>
      </c>
      <c r="D14">
        <f t="shared" si="2"/>
        <v>1.4384615384615382</v>
      </c>
      <c r="E14">
        <f t="shared" si="3"/>
        <v>1.5751479289940827E-2</v>
      </c>
      <c r="F14">
        <f t="shared" si="4"/>
        <v>1.2171597633136095E-2</v>
      </c>
      <c r="G14">
        <f t="shared" si="5"/>
        <v>8.5384615384615399E-3</v>
      </c>
      <c r="H14">
        <f t="shared" si="6"/>
        <v>2.8176923076923079E-2</v>
      </c>
    </row>
    <row r="15" spans="1:8" x14ac:dyDescent="0.2">
      <c r="A15">
        <v>165</v>
      </c>
      <c r="B15">
        <f t="shared" si="0"/>
        <v>385</v>
      </c>
      <c r="C15">
        <f t="shared" si="1"/>
        <v>8.5714285714285701E-3</v>
      </c>
      <c r="D15">
        <f t="shared" si="2"/>
        <v>1.4142857142857144</v>
      </c>
      <c r="E15">
        <f t="shared" si="3"/>
        <v>1.6163265306122443E-2</v>
      </c>
      <c r="F15">
        <f t="shared" si="4"/>
        <v>1.2122448979591832E-2</v>
      </c>
      <c r="G15">
        <f t="shared" si="5"/>
        <v>8.4285714285714311E-3</v>
      </c>
      <c r="H15">
        <f t="shared" si="6"/>
        <v>2.7814285714285722E-2</v>
      </c>
    </row>
    <row r="16" spans="1:8" x14ac:dyDescent="0.2">
      <c r="A16">
        <v>160</v>
      </c>
      <c r="B16">
        <f t="shared" si="0"/>
        <v>380</v>
      </c>
      <c r="C16">
        <f t="shared" si="1"/>
        <v>8.6842105263157891E-3</v>
      </c>
      <c r="D16">
        <f t="shared" si="2"/>
        <v>1.3894736842105262</v>
      </c>
      <c r="E16">
        <f t="shared" si="3"/>
        <v>1.659141274238227E-2</v>
      </c>
      <c r="F16">
        <f t="shared" si="4"/>
        <v>1.2066481994459833E-2</v>
      </c>
      <c r="G16">
        <f t="shared" si="5"/>
        <v>8.3157894736842122E-3</v>
      </c>
      <c r="H16">
        <f t="shared" si="6"/>
        <v>2.74421052631579E-2</v>
      </c>
    </row>
    <row r="17" spans="1:8" x14ac:dyDescent="0.2">
      <c r="A17">
        <v>155</v>
      </c>
      <c r="B17">
        <f t="shared" si="0"/>
        <v>375</v>
      </c>
      <c r="C17">
        <f t="shared" si="1"/>
        <v>8.7999999999999988E-3</v>
      </c>
      <c r="D17">
        <f t="shared" si="2"/>
        <v>1.3640000000000001</v>
      </c>
      <c r="E17">
        <f t="shared" si="3"/>
        <v>1.7036799999999994E-2</v>
      </c>
      <c r="F17">
        <f t="shared" si="4"/>
        <v>1.2003199999999997E-2</v>
      </c>
      <c r="G17">
        <f t="shared" si="5"/>
        <v>8.2000000000000024E-3</v>
      </c>
      <c r="H17">
        <f t="shared" si="6"/>
        <v>2.7060000000000008E-2</v>
      </c>
    </row>
    <row r="18" spans="1:8" x14ac:dyDescent="0.2">
      <c r="A18">
        <v>150</v>
      </c>
      <c r="B18">
        <f t="shared" si="0"/>
        <v>370</v>
      </c>
      <c r="C18">
        <f t="shared" si="1"/>
        <v>8.918918918918918E-3</v>
      </c>
      <c r="D18">
        <f t="shared" si="2"/>
        <v>1.3378378378378379</v>
      </c>
      <c r="E18">
        <f t="shared" si="3"/>
        <v>1.7500365230094954E-2</v>
      </c>
      <c r="F18">
        <f t="shared" si="4"/>
        <v>1.1932067202337469E-2</v>
      </c>
      <c r="G18">
        <f t="shared" si="5"/>
        <v>8.0810810810810832E-3</v>
      </c>
      <c r="H18">
        <f t="shared" si="6"/>
        <v>2.6667567567567572E-2</v>
      </c>
    </row>
    <row r="19" spans="1:8" x14ac:dyDescent="0.2">
      <c r="A19">
        <v>145</v>
      </c>
      <c r="B19">
        <f t="shared" si="0"/>
        <v>365</v>
      </c>
      <c r="C19">
        <f t="shared" si="1"/>
        <v>9.0410958904109592E-3</v>
      </c>
      <c r="D19">
        <f t="shared" si="2"/>
        <v>1.3109589041095888</v>
      </c>
      <c r="E19">
        <f t="shared" si="3"/>
        <v>1.7983111277913306E-2</v>
      </c>
      <c r="F19">
        <f t="shared" si="4"/>
        <v>1.1852505160442861E-2</v>
      </c>
      <c r="G19">
        <f t="shared" si="5"/>
        <v>7.958904109589042E-3</v>
      </c>
      <c r="H19">
        <f t="shared" si="6"/>
        <v>2.6264383561643838E-2</v>
      </c>
    </row>
    <row r="20" spans="1:8" x14ac:dyDescent="0.2">
      <c r="A20">
        <v>140</v>
      </c>
      <c r="B20">
        <f t="shared" si="0"/>
        <v>360</v>
      </c>
      <c r="C20">
        <f t="shared" si="1"/>
        <v>9.1666666666666667E-3</v>
      </c>
      <c r="D20">
        <f t="shared" si="2"/>
        <v>1.2833333333333332</v>
      </c>
      <c r="E20">
        <f t="shared" si="3"/>
        <v>1.8486111111111113E-2</v>
      </c>
      <c r="F20">
        <f t="shared" si="4"/>
        <v>1.176388888888889E-2</v>
      </c>
      <c r="G20">
        <f t="shared" si="5"/>
        <v>7.8333333333333345E-3</v>
      </c>
      <c r="H20">
        <f t="shared" si="6"/>
        <v>2.5850000000000001E-2</v>
      </c>
    </row>
    <row r="21" spans="1:8" x14ac:dyDescent="0.2">
      <c r="A21">
        <v>135</v>
      </c>
      <c r="B21">
        <f t="shared" si="0"/>
        <v>355</v>
      </c>
      <c r="C21">
        <f t="shared" si="1"/>
        <v>9.2957746478873234E-3</v>
      </c>
      <c r="D21">
        <f t="shared" si="2"/>
        <v>1.2549295774647886</v>
      </c>
      <c r="E21">
        <f t="shared" si="3"/>
        <v>1.9010513786947032E-2</v>
      </c>
      <c r="F21">
        <f t="shared" si="4"/>
        <v>1.1665542551081133E-2</v>
      </c>
      <c r="G21">
        <f t="shared" si="5"/>
        <v>7.7042253521126779E-3</v>
      </c>
      <c r="H21">
        <f t="shared" si="6"/>
        <v>2.5423943661971836E-2</v>
      </c>
    </row>
    <row r="22" spans="1:8" x14ac:dyDescent="0.2">
      <c r="A22">
        <v>130</v>
      </c>
      <c r="B22">
        <f t="shared" si="0"/>
        <v>350</v>
      </c>
      <c r="C22">
        <f t="shared" si="1"/>
        <v>9.4285714285714285E-3</v>
      </c>
      <c r="D22">
        <f t="shared" si="2"/>
        <v>1.2257142857142855</v>
      </c>
      <c r="E22">
        <f t="shared" si="3"/>
        <v>1.9557551020408164E-2</v>
      </c>
      <c r="F22">
        <f t="shared" si="4"/>
        <v>1.1556734693877552E-2</v>
      </c>
      <c r="G22">
        <f t="shared" si="5"/>
        <v>7.5714285714285727E-3</v>
      </c>
      <c r="H22">
        <f t="shared" si="6"/>
        <v>2.4985714285714288E-2</v>
      </c>
    </row>
    <row r="23" spans="1:8" x14ac:dyDescent="0.2">
      <c r="A23">
        <v>125</v>
      </c>
      <c r="B23">
        <f t="shared" si="0"/>
        <v>345</v>
      </c>
      <c r="C23">
        <f t="shared" si="1"/>
        <v>9.5652173913043474E-3</v>
      </c>
      <c r="D23">
        <f t="shared" si="2"/>
        <v>1.1956521739130435</v>
      </c>
      <c r="E23">
        <f t="shared" si="3"/>
        <v>2.0128544423440451E-2</v>
      </c>
      <c r="F23">
        <f t="shared" si="4"/>
        <v>1.1436672967863893E-2</v>
      </c>
      <c r="G23">
        <f t="shared" si="5"/>
        <v>7.4347826086956538E-3</v>
      </c>
      <c r="H23">
        <f t="shared" si="6"/>
        <v>2.4534782608695658E-2</v>
      </c>
    </row>
    <row r="24" spans="1:8" x14ac:dyDescent="0.2">
      <c r="A24">
        <v>120</v>
      </c>
      <c r="B24">
        <f t="shared" si="0"/>
        <v>340</v>
      </c>
      <c r="C24">
        <f t="shared" si="1"/>
        <v>9.7058823529411753E-3</v>
      </c>
      <c r="D24">
        <f t="shared" si="2"/>
        <v>1.1647058823529415</v>
      </c>
      <c r="E24">
        <f t="shared" si="3"/>
        <v>2.0724913494809684E-2</v>
      </c>
      <c r="F24">
        <f t="shared" si="4"/>
        <v>1.1304498269896192E-2</v>
      </c>
      <c r="G24">
        <f t="shared" si="5"/>
        <v>7.2941176470588259E-3</v>
      </c>
      <c r="H24">
        <f t="shared" si="6"/>
        <v>2.4070588235294125E-2</v>
      </c>
    </row>
    <row r="25" spans="1:8" x14ac:dyDescent="0.2">
      <c r="A25">
        <v>115</v>
      </c>
      <c r="B25">
        <f t="shared" si="0"/>
        <v>335</v>
      </c>
      <c r="C25">
        <f t="shared" si="1"/>
        <v>9.8507462686567154E-3</v>
      </c>
      <c r="D25">
        <f t="shared" si="2"/>
        <v>1.1328358208955223</v>
      </c>
      <c r="E25">
        <f t="shared" si="3"/>
        <v>2.1348184450879926E-2</v>
      </c>
      <c r="F25">
        <f t="shared" si="4"/>
        <v>1.1159278235687234E-2</v>
      </c>
      <c r="G25">
        <f t="shared" si="5"/>
        <v>7.1492537313432858E-3</v>
      </c>
      <c r="H25">
        <f t="shared" si="6"/>
        <v>2.3592537313432842E-2</v>
      </c>
    </row>
    <row r="26" spans="1:8" x14ac:dyDescent="0.2">
      <c r="A26">
        <v>110</v>
      </c>
      <c r="B26">
        <f t="shared" si="0"/>
        <v>330</v>
      </c>
      <c r="C26">
        <f t="shared" si="1"/>
        <v>0.01</v>
      </c>
      <c r="D26">
        <f t="shared" si="2"/>
        <v>1.0999999999999996</v>
      </c>
      <c r="E26">
        <f t="shared" si="3"/>
        <v>2.2000000000000002E-2</v>
      </c>
      <c r="F26">
        <f t="shared" si="4"/>
        <v>1.1000000000000001E-2</v>
      </c>
      <c r="G26">
        <f t="shared" si="5"/>
        <v>7.000000000000001E-3</v>
      </c>
      <c r="H26">
        <f t="shared" si="6"/>
        <v>2.3100000000000002E-2</v>
      </c>
    </row>
    <row r="27" spans="1:8" x14ac:dyDescent="0.2">
      <c r="A27">
        <v>105</v>
      </c>
      <c r="B27">
        <f t="shared" si="0"/>
        <v>325</v>
      </c>
      <c r="C27">
        <f t="shared" si="1"/>
        <v>1.0153846153846154E-2</v>
      </c>
      <c r="D27">
        <f t="shared" si="2"/>
        <v>1.066153846153846</v>
      </c>
      <c r="E27">
        <f t="shared" si="3"/>
        <v>2.2682130177514793E-2</v>
      </c>
      <c r="F27">
        <f t="shared" si="4"/>
        <v>1.0825562130177515E-2</v>
      </c>
      <c r="G27">
        <f t="shared" si="5"/>
        <v>6.8461538461538473E-3</v>
      </c>
      <c r="H27">
        <f t="shared" si="6"/>
        <v>2.2592307692307696E-2</v>
      </c>
    </row>
    <row r="28" spans="1:8" x14ac:dyDescent="0.2">
      <c r="A28">
        <v>100</v>
      </c>
      <c r="B28">
        <f t="shared" si="0"/>
        <v>320</v>
      </c>
      <c r="C28">
        <f t="shared" si="1"/>
        <v>1.0312499999999999E-2</v>
      </c>
      <c r="D28">
        <f t="shared" si="2"/>
        <v>1.03125</v>
      </c>
      <c r="E28">
        <f t="shared" si="3"/>
        <v>2.3396484374999995E-2</v>
      </c>
      <c r="F28">
        <f t="shared" si="4"/>
        <v>1.0634765624999997E-2</v>
      </c>
      <c r="G28">
        <f t="shared" si="5"/>
        <v>6.6875000000000025E-3</v>
      </c>
      <c r="H28">
        <f t="shared" si="6"/>
        <v>2.2068750000000008E-2</v>
      </c>
    </row>
    <row r="29" spans="1:8" x14ac:dyDescent="0.2">
      <c r="A29">
        <v>95</v>
      </c>
      <c r="B29">
        <f t="shared" si="0"/>
        <v>315</v>
      </c>
      <c r="C29">
        <f t="shared" si="1"/>
        <v>1.0476190476190476E-2</v>
      </c>
      <c r="D29">
        <f t="shared" si="2"/>
        <v>0.99523809523809526</v>
      </c>
      <c r="E29">
        <f t="shared" si="3"/>
        <v>2.4145124716553286E-2</v>
      </c>
      <c r="F29">
        <f t="shared" si="4"/>
        <v>1.0426303854875283E-2</v>
      </c>
      <c r="G29">
        <f t="shared" si="5"/>
        <v>6.5238095238095255E-3</v>
      </c>
      <c r="H29">
        <f t="shared" si="6"/>
        <v>2.1528571428571432E-2</v>
      </c>
    </row>
    <row r="30" spans="1:8" x14ac:dyDescent="0.2">
      <c r="A30">
        <v>90</v>
      </c>
      <c r="B30">
        <f t="shared" si="0"/>
        <v>310</v>
      </c>
      <c r="C30">
        <f t="shared" si="1"/>
        <v>1.064516129032258E-2</v>
      </c>
      <c r="D30">
        <f t="shared" si="2"/>
        <v>0.95806451612903221</v>
      </c>
      <c r="E30">
        <f t="shared" si="3"/>
        <v>2.4930280957336109E-2</v>
      </c>
      <c r="F30">
        <f t="shared" si="4"/>
        <v>1.0198751300728408E-2</v>
      </c>
      <c r="G30">
        <f t="shared" si="5"/>
        <v>6.3548387096774208E-3</v>
      </c>
      <c r="H30">
        <f t="shared" si="6"/>
        <v>2.0970967741935489E-2</v>
      </c>
    </row>
    <row r="31" spans="1:8" x14ac:dyDescent="0.2">
      <c r="A31">
        <v>85</v>
      </c>
      <c r="B31">
        <f t="shared" si="0"/>
        <v>305</v>
      </c>
      <c r="C31">
        <f t="shared" si="1"/>
        <v>1.081967213114754E-2</v>
      </c>
      <c r="D31">
        <f t="shared" si="2"/>
        <v>0.91967213114754109</v>
      </c>
      <c r="E31">
        <f t="shared" si="3"/>
        <v>2.5754367105616762E-2</v>
      </c>
      <c r="F31">
        <f t="shared" si="4"/>
        <v>9.950550927170114E-3</v>
      </c>
      <c r="G31">
        <f t="shared" si="5"/>
        <v>6.1803278688524615E-3</v>
      </c>
      <c r="H31">
        <f t="shared" si="6"/>
        <v>2.0395081967213121E-2</v>
      </c>
    </row>
    <row r="32" spans="1:8" x14ac:dyDescent="0.2">
      <c r="A32">
        <v>80</v>
      </c>
      <c r="B32">
        <f t="shared" si="0"/>
        <v>300</v>
      </c>
      <c r="C32">
        <f t="shared" si="1"/>
        <v>1.0999999999999999E-2</v>
      </c>
      <c r="D32">
        <f t="shared" si="2"/>
        <v>0.87999999999999989</v>
      </c>
      <c r="E32">
        <f t="shared" si="3"/>
        <v>2.6619999999999998E-2</v>
      </c>
      <c r="F32">
        <f t="shared" si="4"/>
        <v>9.6799999999999994E-3</v>
      </c>
      <c r="G32">
        <f t="shared" si="5"/>
        <v>6.0000000000000019E-3</v>
      </c>
      <c r="H32">
        <f t="shared" si="6"/>
        <v>1.9800000000000005E-2</v>
      </c>
    </row>
    <row r="33" spans="1:8" x14ac:dyDescent="0.2">
      <c r="A33">
        <v>75</v>
      </c>
      <c r="B33">
        <f t="shared" si="0"/>
        <v>295</v>
      </c>
      <c r="C33">
        <f t="shared" si="1"/>
        <v>1.1186440677966101E-2</v>
      </c>
      <c r="D33">
        <f t="shared" si="2"/>
        <v>0.83898305084745761</v>
      </c>
      <c r="E33">
        <f t="shared" si="3"/>
        <v>2.7530020109164027E-2</v>
      </c>
      <c r="F33">
        <f t="shared" si="4"/>
        <v>9.3852341281241008E-3</v>
      </c>
      <c r="G33">
        <f t="shared" si="5"/>
        <v>5.8135593220339007E-3</v>
      </c>
      <c r="H33">
        <f t="shared" si="6"/>
        <v>1.9184745762711872E-2</v>
      </c>
    </row>
    <row r="34" spans="1:8" x14ac:dyDescent="0.2">
      <c r="A34">
        <v>70</v>
      </c>
      <c r="B34">
        <f t="shared" si="0"/>
        <v>290</v>
      </c>
      <c r="C34">
        <f t="shared" si="1"/>
        <v>1.1379310344827585E-2</v>
      </c>
      <c r="D34">
        <f t="shared" si="2"/>
        <v>0.79655172413793096</v>
      </c>
      <c r="E34">
        <f t="shared" si="3"/>
        <v>2.8487514863258023E-2</v>
      </c>
      <c r="F34">
        <f t="shared" si="4"/>
        <v>9.0642092746730067E-3</v>
      </c>
      <c r="G34">
        <f t="shared" si="5"/>
        <v>5.6206896551724162E-3</v>
      </c>
      <c r="H34">
        <f t="shared" si="6"/>
        <v>1.8548275862068971E-2</v>
      </c>
    </row>
    <row r="35" spans="1:8" x14ac:dyDescent="0.2">
      <c r="A35">
        <v>65</v>
      </c>
      <c r="B35">
        <f t="shared" si="0"/>
        <v>285</v>
      </c>
      <c r="C35">
        <f t="shared" si="1"/>
        <v>1.1578947368421052E-2</v>
      </c>
      <c r="D35">
        <f t="shared" si="2"/>
        <v>0.75263157894736832</v>
      </c>
      <c r="E35">
        <f t="shared" si="3"/>
        <v>2.9495844875346254E-2</v>
      </c>
      <c r="F35">
        <f t="shared" si="4"/>
        <v>8.7146814404432116E-3</v>
      </c>
      <c r="G35">
        <f t="shared" si="5"/>
        <v>5.4210526315789497E-3</v>
      </c>
      <c r="H35">
        <f t="shared" si="6"/>
        <v>1.7889473684210531E-2</v>
      </c>
    </row>
    <row r="36" spans="1:8" x14ac:dyDescent="0.2">
      <c r="A36">
        <v>60</v>
      </c>
      <c r="B36">
        <f t="shared" si="0"/>
        <v>280</v>
      </c>
      <c r="C36">
        <f t="shared" si="1"/>
        <v>1.1785714285714285E-2</v>
      </c>
      <c r="D36">
        <f t="shared" si="2"/>
        <v>0.7071428571428573</v>
      </c>
      <c r="E36">
        <f t="shared" si="3"/>
        <v>3.0558673469387752E-2</v>
      </c>
      <c r="F36">
        <f t="shared" si="4"/>
        <v>8.3341836734693864E-3</v>
      </c>
      <c r="G36">
        <f t="shared" si="5"/>
        <v>5.2142857142857164E-3</v>
      </c>
      <c r="H36">
        <f t="shared" si="6"/>
        <v>1.7207142857142862E-2</v>
      </c>
    </row>
    <row r="37" spans="1:8" x14ac:dyDescent="0.2">
      <c r="A37">
        <v>55</v>
      </c>
      <c r="B37">
        <f t="shared" si="0"/>
        <v>275</v>
      </c>
      <c r="C37">
        <f t="shared" si="1"/>
        <v>1.1999999999999999E-2</v>
      </c>
      <c r="D37">
        <f t="shared" si="2"/>
        <v>0.66000000000000014</v>
      </c>
      <c r="E37">
        <f t="shared" si="3"/>
        <v>3.1679999999999993E-2</v>
      </c>
      <c r="F37">
        <f t="shared" si="4"/>
        <v>7.9199999999999982E-3</v>
      </c>
      <c r="G37">
        <f t="shared" si="5"/>
        <v>5.0000000000000027E-3</v>
      </c>
      <c r="H37">
        <f t="shared" si="6"/>
        <v>1.6500000000000008E-2</v>
      </c>
    </row>
    <row r="38" spans="1:8" x14ac:dyDescent="0.2">
      <c r="A38">
        <v>50</v>
      </c>
      <c r="B38">
        <f t="shared" si="0"/>
        <v>270</v>
      </c>
      <c r="C38">
        <f t="shared" si="1"/>
        <v>1.2222222222222221E-2</v>
      </c>
      <c r="D38">
        <f t="shared" si="2"/>
        <v>0.61111111111111116</v>
      </c>
      <c r="E38">
        <f t="shared" si="3"/>
        <v>3.2864197530864191E-2</v>
      </c>
      <c r="F38">
        <f t="shared" si="4"/>
        <v>7.4691358024691346E-3</v>
      </c>
      <c r="G38">
        <f t="shared" si="5"/>
        <v>4.7777777777777801E-3</v>
      </c>
      <c r="H38">
        <f t="shared" si="6"/>
        <v>1.5766666666666672E-2</v>
      </c>
    </row>
    <row r="39" spans="1:8" x14ac:dyDescent="0.2">
      <c r="A39">
        <v>45</v>
      </c>
      <c r="B39">
        <f t="shared" si="0"/>
        <v>265</v>
      </c>
      <c r="C39">
        <f t="shared" si="1"/>
        <v>1.2452830188679244E-2</v>
      </c>
      <c r="D39">
        <f t="shared" si="2"/>
        <v>0.56037735849056602</v>
      </c>
      <c r="E39">
        <f t="shared" si="3"/>
        <v>3.4116055535777845E-2</v>
      </c>
      <c r="F39">
        <f t="shared" si="4"/>
        <v>6.9782840868636503E-3</v>
      </c>
      <c r="G39">
        <f t="shared" si="5"/>
        <v>4.5471698113207573E-3</v>
      </c>
      <c r="H39">
        <f t="shared" si="6"/>
        <v>1.5005660377358499E-2</v>
      </c>
    </row>
    <row r="40" spans="1:8" x14ac:dyDescent="0.2">
      <c r="A40">
        <v>40</v>
      </c>
      <c r="B40">
        <f t="shared" si="0"/>
        <v>260</v>
      </c>
      <c r="C40">
        <f t="shared" si="1"/>
        <v>1.2692307692307692E-2</v>
      </c>
      <c r="D40">
        <f t="shared" si="2"/>
        <v>0.50769230769230766</v>
      </c>
      <c r="E40">
        <f t="shared" si="3"/>
        <v>3.5440828402366863E-2</v>
      </c>
      <c r="F40">
        <f t="shared" si="4"/>
        <v>6.4437869822485203E-3</v>
      </c>
      <c r="G40">
        <f t="shared" si="5"/>
        <v>4.3076923076923092E-3</v>
      </c>
      <c r="H40">
        <f t="shared" si="6"/>
        <v>1.4215384615384619E-2</v>
      </c>
    </row>
    <row r="41" spans="1:8" x14ac:dyDescent="0.2">
      <c r="A41">
        <v>35</v>
      </c>
      <c r="B41">
        <f t="shared" si="0"/>
        <v>255</v>
      </c>
      <c r="C41">
        <f t="shared" si="1"/>
        <v>1.2941176470588235E-2</v>
      </c>
      <c r="D41">
        <f t="shared" si="2"/>
        <v>0.45294117647058796</v>
      </c>
      <c r="E41">
        <f t="shared" si="3"/>
        <v>3.6844290657439452E-2</v>
      </c>
      <c r="F41">
        <f t="shared" si="4"/>
        <v>5.8615916955017311E-3</v>
      </c>
      <c r="G41">
        <f t="shared" si="5"/>
        <v>4.0588235294117658E-3</v>
      </c>
      <c r="H41">
        <f t="shared" si="6"/>
        <v>1.3394117647058825E-2</v>
      </c>
    </row>
    <row r="42" spans="1:8" x14ac:dyDescent="0.2">
      <c r="A42">
        <v>30</v>
      </c>
      <c r="B42">
        <f t="shared" si="0"/>
        <v>250</v>
      </c>
      <c r="C42">
        <f t="shared" si="1"/>
        <v>1.32E-2</v>
      </c>
      <c r="D42">
        <f t="shared" si="2"/>
        <v>0.39599999999999991</v>
      </c>
      <c r="E42">
        <f t="shared" si="3"/>
        <v>3.83328E-2</v>
      </c>
      <c r="F42">
        <f t="shared" si="4"/>
        <v>5.2271999999999996E-3</v>
      </c>
      <c r="G42">
        <f t="shared" si="5"/>
        <v>3.8000000000000013E-3</v>
      </c>
      <c r="H42">
        <f t="shared" si="6"/>
        <v>1.2540000000000004E-2</v>
      </c>
    </row>
    <row r="43" spans="1:8" x14ac:dyDescent="0.2">
      <c r="A43">
        <v>25</v>
      </c>
      <c r="B43">
        <f t="shared" si="0"/>
        <v>245</v>
      </c>
      <c r="C43">
        <f t="shared" si="1"/>
        <v>1.3469387755102039E-2</v>
      </c>
      <c r="D43">
        <f t="shared" si="2"/>
        <v>0.33673469387755128</v>
      </c>
      <c r="E43">
        <f t="shared" si="3"/>
        <v>3.9913369429404405E-2</v>
      </c>
      <c r="F43">
        <f t="shared" si="4"/>
        <v>4.5356101624323191E-3</v>
      </c>
      <c r="G43">
        <f t="shared" si="5"/>
        <v>3.530612244897962E-3</v>
      </c>
      <c r="H43">
        <f t="shared" si="6"/>
        <v>1.1651020408163274E-2</v>
      </c>
    </row>
    <row r="44" spans="1:8" x14ac:dyDescent="0.2">
      <c r="A44">
        <v>20</v>
      </c>
      <c r="B44">
        <f t="shared" si="0"/>
        <v>240</v>
      </c>
      <c r="C44">
        <f t="shared" si="1"/>
        <v>1.375E-2</v>
      </c>
      <c r="D44">
        <f t="shared" si="2"/>
        <v>0.27499999999999991</v>
      </c>
      <c r="E44">
        <f t="shared" si="3"/>
        <v>4.1593749999999999E-2</v>
      </c>
      <c r="F44">
        <f t="shared" si="4"/>
        <v>3.7812499999999999E-3</v>
      </c>
      <c r="G44">
        <f t="shared" si="5"/>
        <v>3.2500000000000012E-3</v>
      </c>
      <c r="H44">
        <f t="shared" si="6"/>
        <v>1.0725000000000004E-2</v>
      </c>
    </row>
    <row r="45" spans="1:8" x14ac:dyDescent="0.2">
      <c r="A45">
        <v>15</v>
      </c>
      <c r="B45">
        <f t="shared" si="0"/>
        <v>235</v>
      </c>
      <c r="C45">
        <f t="shared" si="1"/>
        <v>1.404255319148936E-2</v>
      </c>
      <c r="D45">
        <f t="shared" si="2"/>
        <v>0.21063829787234045</v>
      </c>
      <c r="E45">
        <f t="shared" si="3"/>
        <v>4.3382526029877765E-2</v>
      </c>
      <c r="F45">
        <f t="shared" si="4"/>
        <v>2.9578995020371202E-3</v>
      </c>
      <c r="G45">
        <f t="shared" si="5"/>
        <v>2.9574468085106411E-3</v>
      </c>
      <c r="H45">
        <f t="shared" si="6"/>
        <v>9.7595744680851158E-3</v>
      </c>
    </row>
    <row r="46" spans="1:8" x14ac:dyDescent="0.2">
      <c r="A46">
        <v>10</v>
      </c>
      <c r="B46">
        <f t="shared" si="0"/>
        <v>230</v>
      </c>
      <c r="C46">
        <f t="shared" si="1"/>
        <v>1.4347826086956521E-2</v>
      </c>
      <c r="D46">
        <f t="shared" si="2"/>
        <v>0.14347826086956506</v>
      </c>
      <c r="E46">
        <f t="shared" si="3"/>
        <v>4.5289224952741014E-2</v>
      </c>
      <c r="F46">
        <f t="shared" si="4"/>
        <v>2.0586011342155009E-3</v>
      </c>
      <c r="G46">
        <f t="shared" si="5"/>
        <v>2.6521739130434801E-3</v>
      </c>
      <c r="H46">
        <f t="shared" si="6"/>
        <v>8.7521739130434831E-3</v>
      </c>
    </row>
    <row r="47" spans="1:8" x14ac:dyDescent="0.2">
      <c r="A47">
        <v>5</v>
      </c>
      <c r="B47">
        <f t="shared" si="0"/>
        <v>225</v>
      </c>
      <c r="C47">
        <f t="shared" si="1"/>
        <v>1.4666666666666666E-2</v>
      </c>
      <c r="D47">
        <f t="shared" si="2"/>
        <v>7.333333333333325E-2</v>
      </c>
      <c r="E47">
        <f t="shared" si="3"/>
        <v>4.732444444444444E-2</v>
      </c>
      <c r="F47">
        <f t="shared" si="4"/>
        <v>1.0755555555555555E-3</v>
      </c>
      <c r="G47">
        <f t="shared" si="5"/>
        <v>2.3333333333333348E-3</v>
      </c>
      <c r="H47">
        <f t="shared" si="6"/>
        <v>7.7000000000000046E-3</v>
      </c>
    </row>
    <row r="48" spans="1:8" x14ac:dyDescent="0.2">
      <c r="A48">
        <v>0</v>
      </c>
      <c r="B48">
        <f t="shared" si="0"/>
        <v>220</v>
      </c>
      <c r="C48">
        <f t="shared" si="1"/>
        <v>1.4999999999999999E-2</v>
      </c>
      <c r="D48">
        <f t="shared" si="2"/>
        <v>0</v>
      </c>
      <c r="E48">
        <f t="shared" si="3"/>
        <v>4.9499999999999995E-2</v>
      </c>
      <c r="F48">
        <f t="shared" si="4"/>
        <v>0</v>
      </c>
      <c r="G48">
        <f t="shared" si="5"/>
        <v>2.0000000000000018E-3</v>
      </c>
      <c r="H48">
        <f t="shared" si="6"/>
        <v>6.6000000000000052E-3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Beukhof [Maerita]</dc:creator>
  <cp:lastModifiedBy>Erwin Beukhof [Maerita]</cp:lastModifiedBy>
  <dcterms:created xsi:type="dcterms:W3CDTF">2025-09-18T20:10:53Z</dcterms:created>
  <dcterms:modified xsi:type="dcterms:W3CDTF">2025-09-18T20:40:57Z</dcterms:modified>
</cp:coreProperties>
</file>